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8e7a724b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principal" sheetId="1" r:id="Rab3202e448184408"/>
    <x:sheet xmlns:r="http://schemas.openxmlformats.org/officeDocument/2006/relationships" name="Datos completos" sheetId="2" r:id="Re059b8c97a5f4644"/>
    <x:sheet xmlns:r="http://schemas.openxmlformats.org/officeDocument/2006/relationships" name="Diccionario" sheetId="3" r:id="Rcd66da267bc5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65847"/>
      <x:name val="Carlito"/>
    </x:font>
    <x:font>
      <x:b/>
      <x:sz val="11"/>
      <x:color rgb="FFFFFFFF"/>
      <x:name val="Carlito"/>
    </x:font>
    <x:font>
      <x:sz val="10"/>
      <x:color rgb="FF24352B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9"/>
      <x:color rgb="FF2435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A2A"/>
      </x:patternFill>
    </x:fill>
    <x:fill>
      <x:patternFill patternType="solid">
        <x:fgColor rgb="FFE8F2EB"/>
      </x:patternFill>
    </x:fill>
    <x:fill>
      <x:patternFill patternType="solid">
        <x:fgColor rgb="FF28784A"/>
      </x:patternFill>
    </x:fill>
  </x:fills>
  <x:borders count="4">
    <x:border/>
    <x:border>
      <x:bottom style="thin">
        <x:color rgb="FFD7E1D9"/>
      </x:bottom>
    </x:border>
    <x:border>
      <x:top style="thin">
        <x:color rgb="FFD7E1D9"/>
      </x:top>
      <x:bottom style="thin">
        <x:color rgb="FFD7E1D9"/>
      </x:bottom>
    </x:border>
    <x:border>
      <x:top style="thin">
        <x:color rgb="FFD7E1D9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955c63e6848be" /><Relationship Type="http://schemas.openxmlformats.org/officeDocument/2006/relationships/theme" Target="/xl/theme/theme1.xml" Id="R1f36197ed21d48cd" /><Relationship Type="http://schemas.openxmlformats.org/officeDocument/2006/relationships/sharedStrings" Target="/xl/sharedStrings.xml" Id="R39d8e022671143e5" /><Relationship Type="http://schemas.openxmlformats.org/officeDocument/2006/relationships/worksheet" Target="/xl/worksheets/sheet1.xml" Id="Rab3202e448184408" /><Relationship Type="http://schemas.openxmlformats.org/officeDocument/2006/relationships/worksheet" Target="/xl/worksheets/sheet2.xml" Id="Re059b8c97a5f4644" /><Relationship Type="http://schemas.openxmlformats.org/officeDocument/2006/relationships/worksheet" Target="/xl/worksheets/sheet3.xml" Id="Rcd66da267bc54106" /></Relationships>
</file>

<file path=xl/tables/table1.xml><?xml version="1.0" encoding="utf-8"?>
<x:table xmlns:x="http://schemas.openxmlformats.org/spreadsheetml/2006/main" id="1" name="ResumenINEAP" displayName="ResumenINEAP" ref="A4:AY32" headerRowCount="1" totalsRowCount="0" totalsRowShown="0">
  <x:tableColumns count="51">
    <x:tableColumn id="1" name="Código AP"/>
    <x:tableColumn id="2" name="Área protegida"/>
    <x:tableColumn id="3" name="Ficha disponible"/>
    <x:tableColumn id="4" name="Departamento(s)"/>
    <x:tableColumn id="5" name="Provincia(s)"/>
    <x:tableColumn id="6" name="Municipio(s)/TIOC"/>
    <x:tableColumn id="7" name="Población total"/>
    <x:tableColumn id="8" name="Hombres"/>
    <x:tableColumn id="9" name="Mujeres"/>
    <x:tableColumn id="10" name="Población 0-19"/>
    <x:tableColumn id="11" name="Población 20-39"/>
    <x:tableColumn id="12" name="Población 40-59"/>
    <x:tableColumn id="13" name="Población 60+"/>
    <x:tableColumn id="14" name="Población 19+ (educación)"/>
    <x:tableColumn id="15" name="Sin instrucción"/>
    <x:tableColumn id="16" name="Primaria"/>
    <x:tableColumn id="17" name="Secundaria"/>
    <x:tableColumn id="18" name="Superior"/>
    <x:tableColumn id="19" name="Población ocupada 14+"/>
    <x:tableColumn id="20" name="Empleada/obrera"/>
    <x:tableColumn id="21" name="Cuenta propia"/>
    <x:tableColumn id="22" name="Agricultura/ganadería/pesca"/>
    <x:tableColumn id="23" name="Comercio"/>
    <x:tableColumn id="24" name="Afiliación SUS"/>
    <x:tableColumn id="25" name="Sin seguro de salud"/>
    <x:tableColumn id="26" name="Total viviendas"/>
    <x:tableColumn id="27" name="Viviendas ocupadas"/>
    <x:tableColumn id="28" name="Electricidad pública"/>
    <x:tableColumn id="29" name="Panel solar"/>
    <x:tableColumn id="30" name="Sin electricidad"/>
    <x:tableColumn id="31" name="Agua por red"/>
    <x:tableColumn id="32" name="Agua de río/vertiente no protegida"/>
    <x:tableColumn id="33" name="Alcantarillado"/>
    <x:tableColumn id="34" name="Sin desagüe sanitario"/>
    <x:tableColumn id="35" name="Cocina con gas"/>
    <x:tableColumn id="36" name="Cocina con leña"/>
    <x:tableColumn id="37" name="Basura a carro recolector"/>
    <x:tableColumn id="38" name="Quema de basura"/>
    <x:tableColumn id="39" name="Hogares con celular"/>
    <x:tableColumn id="40" name="Hogares con internet"/>
    <x:tableColumn id="41" name="Ficha PDF"/>
    <x:tableColumn id="42" name="Fuente"/>
    <x:tableColumn id="43" name="% mujeres"/>
    <x:tableColumn id="44" name="% población 0-19"/>
    <x:tableColumn id="45" name="% población 60+"/>
    <x:tableColumn id="46" name="% educación superior"/>
    <x:tableColumn id="47" name="% agricultura"/>
    <x:tableColumn id="48" name="% afiliación SUS"/>
    <x:tableColumn id="49" name="% agua por red"/>
    <x:tableColumn id="50" name="% electricidad pública"/>
    <x:tableColumn id="51" name="% hogares con interne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osCompletosINEAP" displayName="DatosCompletosINEAP" ref="A3:HL31" headerRowCount="1" totalsRowCount="0" totalsRowShown="0">
  <x:tableColumns count="220">
    <x:tableColumn id="1" name="Código AP"/>
    <x:tableColumn id="2" name="Área protegida"/>
    <x:tableColumn id="3" name="Orden AP"/>
    <x:tableColumn id="4" name="Ficha disponible"/>
    <x:tableColumn id="5" name="Departamento(s)"/>
    <x:tableColumn id="6" name="Provincia(s)"/>
    <x:tableColumn id="7" name="Municipio(s)/TIOC"/>
    <x:tableColumn id="8" name="Edad Total Total"/>
    <x:tableColumn id="9" name="Edad Total Hombres"/>
    <x:tableColumn id="10" name="Edad Total Mujeres"/>
    <x:tableColumn id="11" name="Edad 0 19 Total"/>
    <x:tableColumn id="12" name="Edad 0 19 Hombres"/>
    <x:tableColumn id="13" name="Edad 0 19 Mujeres"/>
    <x:tableColumn id="14" name="Edad 20 39 Total"/>
    <x:tableColumn id="15" name="Edad 20 39 Hombres"/>
    <x:tableColumn id="16" name="Edad 20 39 Mujeres"/>
    <x:tableColumn id="17" name="Edad 40 59 Total"/>
    <x:tableColumn id="18" name="Edad 40 59 Hombres"/>
    <x:tableColumn id="19" name="Edad 40 59 Mujeres"/>
    <x:tableColumn id="20" name="Edad 60 más Total"/>
    <x:tableColumn id="21" name="Edad 60 más Hombres"/>
    <x:tableColumn id="22" name="Edad 60 más Mujeres"/>
    <x:tableColumn id="23" name="Nacimiento Total Total"/>
    <x:tableColumn id="24" name="Nacimiento Total Hombres"/>
    <x:tableColumn id="25" name="Nacimiento Total Mujeres"/>
    <x:tableColumn id="26" name="Nacimiento aquí Total"/>
    <x:tableColumn id="27" name="Nacimiento aquí Hombres"/>
    <x:tableColumn id="28" name="Nacimiento aquí Mujeres"/>
    <x:tableColumn id="29" name="Nacimiento Otro Municipio Total"/>
    <x:tableColumn id="30" name="Nacimiento Otro Municipio Hombres"/>
    <x:tableColumn id="31" name="Nacimiento Otro Municipio Mujeres"/>
    <x:tableColumn id="32" name="Nacimiento otro país Total"/>
    <x:tableColumn id="33" name="Nacimiento otro país Hombres"/>
    <x:tableColumn id="34" name="Nacimiento otro país Mujeres"/>
    <x:tableColumn id="35" name="Nacimiento Sin Especificar Total"/>
    <x:tableColumn id="36" name="Nacimiento Sin Especificar Hombres"/>
    <x:tableColumn id="37" name="Nacimiento Sin Especificar Mujeres"/>
    <x:tableColumn id="38" name="Residencia Total Total"/>
    <x:tableColumn id="39" name="Residencia Total Hombres"/>
    <x:tableColumn id="40" name="Residencia Total Mujeres"/>
    <x:tableColumn id="41" name="Residencia aquí Total"/>
    <x:tableColumn id="42" name="Residencia aquí Hombres"/>
    <x:tableColumn id="43" name="Residencia aquí Mujeres"/>
    <x:tableColumn id="44" name="Residencia Otro Municipio Total"/>
    <x:tableColumn id="45" name="Residencia Otro Municipio Hombres"/>
    <x:tableColumn id="46" name="Residencia Otro Municipio Mujeres"/>
    <x:tableColumn id="47" name="Residencia otro país Total"/>
    <x:tableColumn id="48" name="Residencia otro país Hombres"/>
    <x:tableColumn id="49" name="Residencia otro país Mujeres"/>
    <x:tableColumn id="50" name="Residencia Sin Especificar Total"/>
    <x:tableColumn id="51" name="Residencia Sin Especificar Hombres"/>
    <x:tableColumn id="52" name="Residencia Sin Especificar Mujeres"/>
    <x:tableColumn id="53" name="Educación Total 19 más Total"/>
    <x:tableColumn id="54" name="Educación Total 19 más Hombres"/>
    <x:tableColumn id="55" name="Educación Total 19 más Mujeres"/>
    <x:tableColumn id="56" name="Educación Ninguno Total"/>
    <x:tableColumn id="57" name="Educación Ninguno Hombres"/>
    <x:tableColumn id="58" name="Educación Ninguno Mujeres"/>
    <x:tableColumn id="59" name="Educación Primaria Total"/>
    <x:tableColumn id="60" name="Educación Primaria Hombres"/>
    <x:tableColumn id="61" name="Educación Primaria Mujeres"/>
    <x:tableColumn id="62" name="Educación Secundaria Total"/>
    <x:tableColumn id="63" name="Educación Secundaria Hombres"/>
    <x:tableColumn id="64" name="Educación Secundaria Mujeres"/>
    <x:tableColumn id="65" name="Educación Superior Total"/>
    <x:tableColumn id="66" name="Educación Superior Hombres"/>
    <x:tableColumn id="67" name="Educación Superior Mujeres"/>
    <x:tableColumn id="68" name="Educación Sin Especificar Total"/>
    <x:tableColumn id="69" name="Educación Sin Especificar Hombres"/>
    <x:tableColumn id="70" name="Educación Sin Especificar Mujeres"/>
    <x:tableColumn id="71" name="Ocupación Total 14 más Total"/>
    <x:tableColumn id="72" name="Ocupación Total 14 más Hombres"/>
    <x:tableColumn id="73" name="Ocupación Total 14 más Mujeres"/>
    <x:tableColumn id="74" name="Ocupación Empleado Obrero Total"/>
    <x:tableColumn id="75" name="Ocupación Empleado Obrero Hombres"/>
    <x:tableColumn id="76" name="Ocupación Empleado Obrero Mujeres"/>
    <x:tableColumn id="77" name="Ocupación Cuenta Propia Total"/>
    <x:tableColumn id="78" name="Ocupación Cuenta Propia Hombres"/>
    <x:tableColumn id="79" name="Ocupación Cuenta Propia Mujeres"/>
    <x:tableColumn id="80" name="Ocupación Otros Total"/>
    <x:tableColumn id="81" name="Ocupación Otros Hombres"/>
    <x:tableColumn id="82" name="Ocupación Otros Mujeres"/>
    <x:tableColumn id="83" name="Ocupación Sin Especificar Total"/>
    <x:tableColumn id="84" name="Ocupación Sin Especificar Hombres"/>
    <x:tableColumn id="85" name="Ocupación Sin Especificar Mujeres"/>
    <x:tableColumn id="86" name="Salud Acude Total Total"/>
    <x:tableColumn id="87" name="Salud Acude Total Hombres"/>
    <x:tableColumn id="88" name="Salud Acude Total Mujeres"/>
    <x:tableColumn id="89" name="Salud Acude Publico Total"/>
    <x:tableColumn id="90" name="Salud Acude Publico Hombres"/>
    <x:tableColumn id="91" name="Salud Acude Publico Mujeres"/>
    <x:tableColumn id="92" name="Salud Acude Caja Salud Total"/>
    <x:tableColumn id="93" name="Salud Acude Caja Salud Hombres"/>
    <x:tableColumn id="94" name="Salud Acude Caja Salud Mujeres"/>
    <x:tableColumn id="95" name="Salud Acude Privado Total"/>
    <x:tableColumn id="96" name="Salud Acude Privado Hombres"/>
    <x:tableColumn id="97" name="Salud Acude Privado Mujeres"/>
    <x:tableColumn id="98" name="Salud Acude Domicilio Total"/>
    <x:tableColumn id="99" name="Salud Acude Domicilio Hombres"/>
    <x:tableColumn id="100" name="Salud Acude Domicilio Mujeres"/>
    <x:tableColumn id="101" name="Salud Acude Medicina Tradicional Total"/>
    <x:tableColumn id="102" name="Salud Acude Medicina Tradicional Hombres"/>
    <x:tableColumn id="103" name="Salud Acude Medicina Tradicional Mujeres"/>
    <x:tableColumn id="104" name="Salud Acude Farmacia Automedicacion Total"/>
    <x:tableColumn id="105" name="Salud Acude Farmacia Automedicacion Hombres"/>
    <x:tableColumn id="106" name="Salud Acude Farmacia Automedicacion Mujeres"/>
    <x:tableColumn id="107" name="Salud Acude Remedios Caseros Total"/>
    <x:tableColumn id="108" name="Salud Acude Remedios Caseros Hombres"/>
    <x:tableColumn id="109" name="Salud Acude Remedios Caseros Mujeres"/>
    <x:tableColumn id="110" name="Actividad Total 14 más Total"/>
    <x:tableColumn id="111" name="Actividad Total 14 más Hombres"/>
    <x:tableColumn id="112" name="Actividad Total 14 más Mujeres"/>
    <x:tableColumn id="113" name="Actividad Agricultura Total"/>
    <x:tableColumn id="114" name="Actividad Agricultura Hombres"/>
    <x:tableColumn id="115" name="Actividad Agricultura Mujeres"/>
    <x:tableColumn id="116" name="Actividad Comercio Total"/>
    <x:tableColumn id="117" name="Actividad Comercio Hombres"/>
    <x:tableColumn id="118" name="Actividad Comercio Mujeres"/>
    <x:tableColumn id="119" name="Actividad Manufactura Total"/>
    <x:tableColumn id="120" name="Actividad Manufactura Hombres"/>
    <x:tableColumn id="121" name="Actividad Manufactura Mujeres"/>
    <x:tableColumn id="122" name="Actividad Construccion Total"/>
    <x:tableColumn id="123" name="Actividad Construccion Hombres"/>
    <x:tableColumn id="124" name="Actividad Construccion Mujeres"/>
    <x:tableColumn id="125" name="Actividad Transporte Total"/>
    <x:tableColumn id="126" name="Actividad Transporte Hombres"/>
    <x:tableColumn id="127" name="Actividad Transporte Mujeres"/>
    <x:tableColumn id="128" name="Actividad Alojamiento Comidas Total"/>
    <x:tableColumn id="129" name="Actividad Alojamiento Comidas Hombres"/>
    <x:tableColumn id="130" name="Actividad Alojamiento Comidas Mujeres"/>
    <x:tableColumn id="131" name="Actividad Enseñanza Total"/>
    <x:tableColumn id="132" name="Actividad Enseñanza Hombres"/>
    <x:tableColumn id="133" name="Actividad Enseñanza Mujeres"/>
    <x:tableColumn id="134" name="Actividad Salud Asistencia Total"/>
    <x:tableColumn id="135" name="Actividad Salud Asistencia Hombres"/>
    <x:tableColumn id="136" name="Actividad Salud Asistencia Mujeres"/>
    <x:tableColumn id="137" name="Actividad Otras Total"/>
    <x:tableColumn id="138" name="Actividad Otras Hombres"/>
    <x:tableColumn id="139" name="Actividad Otras Mujeres"/>
    <x:tableColumn id="140" name="Actividad Sin Especificar Total"/>
    <x:tableColumn id="141" name="Actividad Sin Especificar Hombres"/>
    <x:tableColumn id="142" name="Actividad Sin Especificar Mujeres"/>
    <x:tableColumn id="143" name="Seguro Salud Total Total"/>
    <x:tableColumn id="144" name="Seguro Salud Total Hombres"/>
    <x:tableColumn id="145" name="Seguro Salud Total Mujeres"/>
    <x:tableColumn id="146" name="Seguro Salud Sus Total"/>
    <x:tableColumn id="147" name="Seguro Salud Sus Hombres"/>
    <x:tableColumn id="148" name="Seguro Salud Sus Mujeres"/>
    <x:tableColumn id="149" name="Seguro Salud Caja Salud Total"/>
    <x:tableColumn id="150" name="Seguro Salud Caja Salud Hombres"/>
    <x:tableColumn id="151" name="Seguro Salud Caja Salud Mujeres"/>
    <x:tableColumn id="152" name="Seguro Salud Seguro Privado Total"/>
    <x:tableColumn id="153" name="Seguro Salud Seguro Privado Hombres"/>
    <x:tableColumn id="154" name="Seguro Salud Seguro Privado Mujeres"/>
    <x:tableColumn id="155" name="Seguro Salud Ninguno Total"/>
    <x:tableColumn id="156" name="Seguro Salud Ninguno Hombres"/>
    <x:tableColumn id="157" name="Seguro Salud Ninguno Mujeres"/>
    <x:tableColumn id="158" name="Seguro Salud Sin Especificar Total"/>
    <x:tableColumn id="159" name="Seguro Salud Sin Especificar Hombres"/>
    <x:tableColumn id="160" name="Seguro Salud Sin Especificar Mujeres"/>
    <x:tableColumn id="161" name="Vivienda Total"/>
    <x:tableColumn id="162" name="Vivienda Particulares"/>
    <x:tableColumn id="163" name="Vivienda Personas Presentes"/>
    <x:tableColumn id="164" name="Vivienda Temporalmente Ausentes"/>
    <x:tableColumn id="165" name="Vivienda Desocupadas"/>
    <x:tableColumn id="166" name="Vivienda Colectivas"/>
    <x:tableColumn id="167" name="Tenencia Total"/>
    <x:tableColumn id="168" name="Tenencia Propia"/>
    <x:tableColumn id="169" name="Tenencia Alquilada"/>
    <x:tableColumn id="170" name="Tenencia anticrético Mixto"/>
    <x:tableColumn id="171" name="Tenencia Cedida Prestada"/>
    <x:tableColumn id="172" name="Tenencia Otra"/>
    <x:tableColumn id="173" name="Electricidad Total"/>
    <x:tableColumn id="174" name="Electricidad Servicio Publico"/>
    <x:tableColumn id="175" name="Electricidad Motor Propio"/>
    <x:tableColumn id="176" name="Electricidad Panel Solar"/>
    <x:tableColumn id="177" name="Electricidad Otra"/>
    <x:tableColumn id="178" name="Electricidad No Tiene"/>
    <x:tableColumn id="179" name="Agua Total"/>
    <x:tableColumn id="180" name="Agua Red"/>
    <x:tableColumn id="181" name="Agua Pileta Publica"/>
    <x:tableColumn id="182" name="Agua Carro Repartidor"/>
    <x:tableColumn id="183" name="Agua Pozo Bomba"/>
    <x:tableColumn id="184" name="Agua Pozo Sin Bomba"/>
    <x:tableColumn id="185" name="Agua río Vertiente No Protegida"/>
    <x:tableColumn id="186" name="Agua Vertiente Protegida"/>
    <x:tableColumn id="187" name="Agua Lluvia"/>
    <x:tableColumn id="188" name="Agua Otra"/>
    <x:tableColumn id="189" name="Saneamiento Total"/>
    <x:tableColumn id="190" name="Saneamiento Alcantarillado"/>
    <x:tableColumn id="191" name="Saneamiento cámara Septica"/>
    <x:tableColumn id="192" name="Saneamiento Pozo Ciego"/>
    <x:tableColumn id="193" name="Saneamiento Superficie"/>
    <x:tableColumn id="194" name="Saneamiento Pozo Absorcion"/>
    <x:tableColumn id="195" name="Saneamiento baño Ecologico"/>
    <x:tableColumn id="196" name="Saneamiento No Tiene"/>
    <x:tableColumn id="197" name="Cocina Total"/>
    <x:tableColumn id="198" name="Cocina Gas Garrafa"/>
    <x:tableColumn id="199" name="Cocina Gas cañería"/>
    <x:tableColumn id="200" name="Cocina leña"/>
    <x:tableColumn id="201" name="Cocina Guano Bosta"/>
    <x:tableColumn id="202" name="Cocina Electricidad"/>
    <x:tableColumn id="203" name="Cocina Solar"/>
    <x:tableColumn id="204" name="Cocina Otro"/>
    <x:tableColumn id="205" name="Cocina No Cocina"/>
    <x:tableColumn id="206" name="Basura Total"/>
    <x:tableColumn id="207" name="Basura Contenedor"/>
    <x:tableColumn id="208" name="Basura Carro Basurero"/>
    <x:tableColumn id="209" name="Basura Terreno Calle"/>
    <x:tableColumn id="210" name="Basura río"/>
    <x:tableColumn id="211" name="Basura Quema"/>
    <x:tableColumn id="212" name="Basura Entierra"/>
    <x:tableColumn id="213" name="Basura Otra"/>
    <x:tableColumn id="214" name="Tic Total Hogares"/>
    <x:tableColumn id="215" name="Tic Radio"/>
    <x:tableColumn id="216" name="Tic Televisor"/>
    <x:tableColumn id="217" name="Tic Celular"/>
    <x:tableColumn id="218" name="Tic Internet"/>
    <x:tableColumn id="219" name="Archivo PDF"/>
    <x:tableColumn id="220" name="Fuen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iccionarioINEAP" displayName="DiccionarioINEAP" ref="A3:C223" headerRowCount="1" totalsRowCount="0" totalsRowShown="0">
  <x:tableColumns count="3">
    <x:tableColumn id="1" name="Campo técnico"/>
    <x:tableColumn id="2" name="Nombre en Excel"/>
    <x:tableColumn id="3" name="Descripc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5cabee7da44a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10e4a52243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1068d5b7784a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32" hidden="0" customWidth="1"/>
    <x:col min="42" max="42" width="32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</x:cols>
  <x:sheetData>
    <x:row r="1" ht="30" customHeight="1">
      <x:c r="A1" s="3" t="str">
        <x:v>Datos del Censo de Población y Vivienda 2024 en áreas protegidas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</x:row>
    <x:row r="2" ht="25" customHeight="1">
      <x:c r="A2" s="7" t="str">
        <x:v>Fuente: fichas resumen generadas por el Instituto Nacional de Estadística (INE). Noel Kempff Mercado no cuenta con ficha PDF en la carpeta proporcionada.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</x:row>
    <x:row r="4" ht="34" customHeight="1">
      <x:c r="A4" s="11" t="str">
        <x:v>Código AP</x:v>
      </x:c>
      <x:c r="B4" s="11" t="str">
        <x:v>Área protegida</x:v>
      </x:c>
      <x:c r="C4" s="11" t="str">
        <x:v>Ficha disponible</x:v>
      </x:c>
      <x:c r="D4" s="11" t="str">
        <x:v>Departamento(s)</x:v>
      </x:c>
      <x:c r="E4" s="11" t="str">
        <x:v>Provincia(s)</x:v>
      </x:c>
      <x:c r="F4" s="11" t="str">
        <x:v>Municipio(s)/TIOC</x:v>
      </x:c>
      <x:c r="G4" s="11" t="str">
        <x:v>Población total</x:v>
      </x:c>
      <x:c r="H4" s="11" t="str">
        <x:v>Hombres</x:v>
      </x:c>
      <x:c r="I4" s="11" t="str">
        <x:v>Mujeres</x:v>
      </x:c>
      <x:c r="J4" s="11" t="str">
        <x:v>Población 0-19</x:v>
      </x:c>
      <x:c r="K4" s="11" t="str">
        <x:v>Población 20-39</x:v>
      </x:c>
      <x:c r="L4" s="11" t="str">
        <x:v>Población 40-59</x:v>
      </x:c>
      <x:c r="M4" s="11" t="str">
        <x:v>Población 60+</x:v>
      </x:c>
      <x:c r="N4" s="11" t="str">
        <x:v>Población 19+ (educación)</x:v>
      </x:c>
      <x:c r="O4" s="11" t="str">
        <x:v>Sin instrucción</x:v>
      </x:c>
      <x:c r="P4" s="11" t="str">
        <x:v>Primaria</x:v>
      </x:c>
      <x:c r="Q4" s="11" t="str">
        <x:v>Secundaria</x:v>
      </x:c>
      <x:c r="R4" s="11" t="str">
        <x:v>Superior</x:v>
      </x:c>
      <x:c r="S4" s="11" t="str">
        <x:v>Población ocupada 14+</x:v>
      </x:c>
      <x:c r="T4" s="11" t="str">
        <x:v>Empleada/obrera</x:v>
      </x:c>
      <x:c r="U4" s="11" t="str">
        <x:v>Cuenta propia</x:v>
      </x:c>
      <x:c r="V4" s="11" t="str">
        <x:v>Agricultura/ganadería/pesca</x:v>
      </x:c>
      <x:c r="W4" s="11" t="str">
        <x:v>Comercio</x:v>
      </x:c>
      <x:c r="X4" s="11" t="str">
        <x:v>Afiliación SUS</x:v>
      </x:c>
      <x:c r="Y4" s="11" t="str">
        <x:v>Sin seguro de salud</x:v>
      </x:c>
      <x:c r="Z4" s="11" t="str">
        <x:v>Total viviendas</x:v>
      </x:c>
      <x:c r="AA4" s="11" t="str">
        <x:v>Viviendas ocupadas</x:v>
      </x:c>
      <x:c r="AB4" s="11" t="str">
        <x:v>Electricidad pública</x:v>
      </x:c>
      <x:c r="AC4" s="11" t="str">
        <x:v>Panel solar</x:v>
      </x:c>
      <x:c r="AD4" s="11" t="str">
        <x:v>Sin electricidad</x:v>
      </x:c>
      <x:c r="AE4" s="11" t="str">
        <x:v>Agua por red</x:v>
      </x:c>
      <x:c r="AF4" s="11" t="str">
        <x:v>Agua de río/vertiente no protegida</x:v>
      </x:c>
      <x:c r="AG4" s="11" t="str">
        <x:v>Alcantarillado</x:v>
      </x:c>
      <x:c r="AH4" s="11" t="str">
        <x:v>Sin desagüe sanitario</x:v>
      </x:c>
      <x:c r="AI4" s="11" t="str">
        <x:v>Cocina con gas</x:v>
      </x:c>
      <x:c r="AJ4" s="11" t="str">
        <x:v>Cocina con leña</x:v>
      </x:c>
      <x:c r="AK4" s="11" t="str">
        <x:v>Basura a carro recolector</x:v>
      </x:c>
      <x:c r="AL4" s="11" t="str">
        <x:v>Quema de basura</x:v>
      </x:c>
      <x:c r="AM4" s="11" t="str">
        <x:v>Hogares con celular</x:v>
      </x:c>
      <x:c r="AN4" s="11" t="str">
        <x:v>Hogares con internet</x:v>
      </x:c>
      <x:c r="AO4" s="11" t="str">
        <x:v>Ficha PDF</x:v>
      </x:c>
      <x:c r="AP4" s="11" t="str">
        <x:v>Fuente</x:v>
      </x:c>
      <x:c r="AQ4" s="11" t="str">
        <x:v>% mujeres</x:v>
      </x:c>
      <x:c r="AR4" s="11" t="str">
        <x:v>% población 0-19</x:v>
      </x:c>
      <x:c r="AS4" s="11" t="str">
        <x:v>% población 60+</x:v>
      </x:c>
      <x:c r="AT4" s="11" t="str">
        <x:v>% educación superior</x:v>
      </x:c>
      <x:c r="AU4" s="11" t="str">
        <x:v>% agricultura</x:v>
      </x:c>
      <x:c r="AV4" s="11" t="str">
        <x:v>% afiliación SUS</x:v>
      </x:c>
      <x:c r="AW4" s="11" t="str">
        <x:v>% agua por red</x:v>
      </x:c>
      <x:c r="AX4" s="11" t="str">
        <x:v>% electricidad pública</x:v>
      </x:c>
      <x:c r="AY4" s="11" t="str">
        <x:v>% hogares con internet</x:v>
      </x:c>
    </x:row>
    <x:row r="5" ht="22" customHeight="1">
      <x:c r="A5" s="16" t="str">
        <x:v>AP-0201</x:v>
      </x:c>
      <x:c r="B5" s="16" t="str">
        <x:v>Tunari</x:v>
      </x:c>
      <x:c r="C5" s="16" t="str">
        <x:v>Sí</x:v>
      </x:c>
      <x:c r="D5" s="16" t="str">
        <x:v>COCHABAMBA</x:v>
      </x:c>
      <x:c r="E5" s="16" t="str">
        <x:v>AYOPAYA, QUILLACOLLO, CHAPARE, MÁS 2 PROVINCIAS</x:v>
      </x:c>
      <x:c r="F5" s="16" t="str">
        <x:v>AYOPAYA, MOROCHATA, COCAPATA, MÁS 9</x:v>
      </x:c>
      <x:c r="G5" s="22" t="n">
        <x:v>83369</x:v>
      </x:c>
      <x:c r="H5" s="22" t="n">
        <x:v>41522</x:v>
      </x:c>
      <x:c r="I5" s="22" t="n">
        <x:v>41847</x:v>
      </x:c>
      <x:c r="J5" s="22" t="n">
        <x:v>33132</x:v>
      </x:c>
      <x:c r="K5" s="22" t="n">
        <x:v>25122</x:v>
      </x:c>
      <x:c r="L5" s="22" t="n">
        <x:v>15779</x:v>
      </x:c>
      <x:c r="M5" s="22" t="n">
        <x:v>9336</x:v>
      </x:c>
      <x:c r="N5" s="22" t="n">
        <x:v>51258</x:v>
      </x:c>
      <x:c r="O5" s="22" t="n">
        <x:v>4945</x:v>
      </x:c>
      <x:c r="P5" s="22" t="n">
        <x:v>18839</x:v>
      </x:c>
      <x:c r="Q5" s="22" t="n">
        <x:v>17657</x:v>
      </x:c>
      <x:c r="R5" s="22" t="n">
        <x:v>9556</x:v>
      </x:c>
      <x:c r="S5" s="22" t="n">
        <x:v>45258</x:v>
      </x:c>
      <x:c r="T5" s="22" t="n">
        <x:v>8709</x:v>
      </x:c>
      <x:c r="U5" s="22" t="n">
        <x:v>26841</x:v>
      </x:c>
      <x:c r="V5" s="22" t="n">
        <x:v>25726</x:v>
      </x:c>
      <x:c r="W5" s="22" t="n">
        <x:v>4738</x:v>
      </x:c>
      <x:c r="X5" s="22" t="n">
        <x:v>65132</x:v>
      </x:c>
      <x:c r="Y5" s="22" t="n">
        <x:v>9935</x:v>
      </x:c>
      <x:c r="Z5" s="22" t="n">
        <x:v>35254</x:v>
      </x:c>
      <x:c r="AA5" s="22" t="n">
        <x:v>27641</x:v>
      </x:c>
      <x:c r="AB5" s="22" t="n">
        <x:v>18229</x:v>
      </x:c>
      <x:c r="AC5" s="22" t="n">
        <x:v>2147</x:v>
      </x:c>
      <x:c r="AD5" s="22" t="n">
        <x:v>6746</x:v>
      </x:c>
      <x:c r="AE5" s="22" t="n">
        <x:v>10428</x:v>
      </x:c>
      <x:c r="AF5" s="22" t="n">
        <x:v>3591</x:v>
      </x:c>
      <x:c r="AG5" s="22" t="n">
        <x:v>3648</x:v>
      </x:c>
      <x:c r="AH5" s="22" t="n">
        <x:v>10403</x:v>
      </x:c>
      <x:c r="AI5" s="22" t="n">
        <x:v>15464</x:v>
      </x:c>
      <x:c r="AJ5" s="22" t="n">
        <x:v>10640</x:v>
      </x:c>
      <x:c r="AK5" s="22" t="n">
        <x:v>8110</x:v>
      </x:c>
      <x:c r="AL5" s="22" t="n">
        <x:v>15277</x:v>
      </x:c>
      <x:c r="AM5" s="22" t="n">
        <x:v>23281</x:v>
      </x:c>
      <x:c r="AN5" s="22" t="n">
        <x:v>18108</x:v>
      </x:c>
      <x:c r="AO5" s="16" t="str">
        <x:v>Ficha_INE_Tunari.pdf</x:v>
      </x:c>
      <x:c r="AP5" s="16" t="str">
        <x:v>Instituto Nacional de Estadística, Censo de Población y Vivienda 2024</x:v>
      </x:c>
      <x:c r="AQ5" s="19" t="n">
        <x:f>IFERROR(I5/G5,0)</x:f>
        <x:v>0.501949165757056</x:v>
      </x:c>
      <x:c r="AR5" s="19" t="n">
        <x:f>IFERROR(J5/G5,0)</x:f>
        <x:v>0.3974139068478691</x:v>
      </x:c>
      <x:c r="AS5" s="19" t="n">
        <x:f>IFERROR(M5/G5,0)</x:f>
        <x:v>0.11198407081769003</x:v>
      </x:c>
      <x:c r="AT5" s="19" t="n">
        <x:f>IFERROR(R5/N5,0)</x:f>
        <x:v>0.18642943540520504</x:v>
      </x:c>
      <x:c r="AU5" s="19" t="n">
        <x:f>IFERROR(V5/5,0)</x:f>
        <x:v>5145.2</x:v>
      </x:c>
      <x:c r="AV5" s="19" t="n">
        <x:f>IFERROR(X5/5,0)</x:f>
        <x:v>13026.4</x:v>
      </x:c>
      <x:c r="AW5" s="19" t="n">
        <x:f>IFERROR(AE5/5,0)</x:f>
        <x:v>2085.6</x:v>
      </x:c>
      <x:c r="AX5" s="19" t="n">
        <x:f>IFERROR(AB5/5,0)</x:f>
        <x:v>3645.8</x:v>
      </x:c>
      <x:c r="AY5" s="19" t="n">
        <x:f>IFERROR(AN5/5,0)</x:f>
        <x:v>3621.6</x:v>
      </x:c>
    </x:row>
    <x:row r="6" ht="22" customHeight="1">
      <x:c r="A6" s="17" t="str">
        <x:v>AP-0405</x:v>
      </x:c>
      <x:c r="B6" s="17" t="str">
        <x:v>Apolobamba</x:v>
      </x:c>
      <x:c r="C6" s="17" t="str">
        <x:v>Sí</x:v>
      </x:c>
      <x:c r="D6" s="17" t="str">
        <x:v>LA PAZ</x:v>
      </x:c>
      <x:c r="E6" s="17" t="str">
        <x:v>FRANZ TAMAYO, MUÑECAS, BAUTISTA SAAVEDRA, MÁS 1 PROVINCIAS</x:v>
      </x:c>
      <x:c r="F6" s="17" t="str">
        <x:v>PELECHUCO, AYATA, CHARAZANI, MÁS 2</x:v>
      </x:c>
      <x:c r="G6" s="23" t="n">
        <x:v>33119</x:v>
      </x:c>
      <x:c r="H6" s="23" t="n">
        <x:v>18079</x:v>
      </x:c>
      <x:c r="I6" s="23" t="n">
        <x:v>15040</x:v>
      </x:c>
      <x:c r="J6" s="23" t="n">
        <x:v>12641</x:v>
      </x:c>
      <x:c r="K6" s="23" t="n">
        <x:v>11432</x:v>
      </x:c>
      <x:c r="L6" s="23" t="n">
        <x:v>5981</x:v>
      </x:c>
      <x:c r="M6" s="23" t="n">
        <x:v>3065</x:v>
      </x:c>
      <x:c r="N6" s="23" t="n">
        <x:v>20800</x:v>
      </x:c>
      <x:c r="O6" s="23" t="n">
        <x:v>2256</x:v>
      </x:c>
      <x:c r="P6" s="23" t="n">
        <x:v>5383</x:v>
      </x:c>
      <x:c r="Q6" s="23" t="n">
        <x:v>10819</x:v>
      </x:c>
      <x:c r="R6" s="23" t="n">
        <x:v>2188</x:v>
      </x:c>
      <x:c r="S6" s="23" t="n">
        <x:v>18006</x:v>
      </x:c>
      <x:c r="T6" s="23" t="n">
        <x:v>2735</x:v>
      </x:c>
      <x:c r="U6" s="23" t="n">
        <x:v>9922</x:v>
      </x:c>
      <x:c r="V6" s="23" t="n">
        <x:v>10760</x:v>
      </x:c>
      <x:c r="W6" s="23" t="n">
        <x:v>1578</x:v>
      </x:c>
      <x:c r="X6" s="23" t="n">
        <x:v>23960</x:v>
      </x:c>
      <x:c r="Y6" s="23" t="n">
        <x:v>6967</x:v>
      </x:c>
      <x:c r="Z6" s="23" t="n">
        <x:v>12273</x:v>
      </x:c>
      <x:c r="AA6" s="23" t="n">
        <x:v>10127</x:v>
      </x:c>
      <x:c r="AB6" s="23" t="n">
        <x:v>7722</x:v>
      </x:c>
      <x:c r="AC6" s="23" t="n">
        <x:v>244</x:v>
      </x:c>
      <x:c r="AD6" s="23" t="n">
        <x:v>1971</x:v>
      </x:c>
      <x:c r="AE6" s="23" t="n">
        <x:v>5222</x:v>
      </x:c>
      <x:c r="AF6" s="23" t="n">
        <x:v>731</x:v>
      </x:c>
      <x:c r="AG6" s="23" t="n">
        <x:v>1822</x:v>
      </x:c>
      <x:c r="AH6" s="23" t="n">
        <x:v>4418</x:v>
      </x:c>
      <x:c r="AI6" s="23" t="n">
        <x:v>5475</x:v>
      </x:c>
      <x:c r="AJ6" s="23" t="n">
        <x:v>3839</x:v>
      </x:c>
      <x:c r="AK6" s="23" t="n">
        <x:v>365</x:v>
      </x:c>
      <x:c r="AL6" s="23" t="n">
        <x:v>4483</x:v>
      </x:c>
      <x:c r="AM6" s="23" t="n">
        <x:v>7970</x:v>
      </x:c>
      <x:c r="AN6" s="23" t="n">
        <x:v>4393</x:v>
      </x:c>
      <x:c r="AO6" s="17" t="str">
        <x:v>Ficha_INE_Apolobamba.pdf</x:v>
      </x:c>
      <x:c r="AP6" s="17" t="str">
        <x:v>Instituto Nacional de Estadística, Censo de Población y Vivienda 2024</x:v>
      </x:c>
      <x:c r="AQ6" s="20" t="n">
        <x:f>IFERROR(I6/G6,0)</x:f>
        <x:v>0.4541199915456385</x:v>
      </x:c>
      <x:c r="AR6" s="20" t="n">
        <x:f>IFERROR(J6/G6,0)</x:f>
        <x:v>0.3816842295963042</x:v>
      </x:c>
      <x:c r="AS6" s="20" t="n">
        <x:f>IFERROR(M6/G6,0)</x:f>
        <x:v>0.09254506476644826</x:v>
      </x:c>
      <x:c r="AT6" s="20" t="n">
        <x:f>IFERROR(R6/N6,0)</x:f>
        <x:v>0.1051923076923077</x:v>
      </x:c>
      <x:c r="AU6" s="20" t="n">
        <x:f>IFERROR(V6/6,0)</x:f>
        <x:v>1793.3333333333333</x:v>
      </x:c>
      <x:c r="AV6" s="20" t="n">
        <x:f>IFERROR(X6/6,0)</x:f>
        <x:v>3993.3333333333335</x:v>
      </x:c>
      <x:c r="AW6" s="20" t="n">
        <x:f>IFERROR(AE6/6,0)</x:f>
        <x:v>870.3333333333334</x:v>
      </x:c>
      <x:c r="AX6" s="20" t="n">
        <x:f>IFERROR(AB6/6,0)</x:f>
        <x:v>1287</x:v>
      </x:c>
      <x:c r="AY6" s="20" t="n">
        <x:f>IFERROR(AN6/6,0)</x:f>
        <x:v>732.1666666666666</x:v>
      </x:c>
    </x:row>
    <x:row r="7" ht="22" customHeight="1">
      <x:c r="A7" s="17" t="str">
        <x:v>AP-0301</x:v>
      </x:c>
      <x:c r="B7" s="17" t="str">
        <x:v>Isiboro Securé</x:v>
      </x:c>
      <x:c r="C7" s="17" t="str">
        <x:v>Sí</x:v>
      </x:c>
      <x:c r="D7" s="17" t="str">
        <x:v>COCHABAMBA, BENI</x:v>
      </x:c>
      <x:c r="E7" s="17" t="str">
        <x:v>CHAPARE, MOXOS, MARBÁN</x:v>
      </x:c>
      <x:c r="F7" s="17" t="str">
        <x:v>VILLA TUNARI, SAN IGNACIO, LORETO</x:v>
      </x:c>
      <x:c r="G7" s="23" t="n">
        <x:v>25736</x:v>
      </x:c>
      <x:c r="H7" s="23" t="n">
        <x:v>13622</x:v>
      </x:c>
      <x:c r="I7" s="23" t="n">
        <x:v>12114</x:v>
      </x:c>
      <x:c r="J7" s="23" t="n">
        <x:v>11785</x:v>
      </x:c>
      <x:c r="K7" s="23" t="n">
        <x:v>8487</x:v>
      </x:c>
      <x:c r="L7" s="23" t="n">
        <x:v>4133</x:v>
      </x:c>
      <x:c r="M7" s="23" t="n">
        <x:v>1331</x:v>
      </x:c>
      <x:c r="N7" s="23" t="n">
        <x:v>14183</x:v>
      </x:c>
      <x:c r="O7" s="23" t="n">
        <x:v>1188</x:v>
      </x:c>
      <x:c r="P7" s="23" t="n">
        <x:v>5367</x:v>
      </x:c>
      <x:c r="Q7" s="23" t="n">
        <x:v>6159</x:v>
      </x:c>
      <x:c r="R7" s="23" t="n">
        <x:v>1292</x:v>
      </x:c>
      <x:c r="S7" s="23" t="n">
        <x:v>12593</x:v>
      </x:c>
      <x:c r="T7" s="23" t="n">
        <x:v>1209</x:v>
      </x:c>
      <x:c r="U7" s="23" t="n">
        <x:v>8586</x:v>
      </x:c>
      <x:c r="V7" s="23" t="n">
        <x:v>9900</x:v>
      </x:c>
      <x:c r="W7" s="23" t="n">
        <x:v>710</x:v>
      </x:c>
      <x:c r="X7" s="23" t="n">
        <x:v>21268</x:v>
      </x:c>
      <x:c r="Y7" s="23" t="n">
        <x:v>2836</x:v>
      </x:c>
      <x:c r="Z7" s="23" t="n">
        <x:v>12009</x:v>
      </x:c>
      <x:c r="AA7" s="23" t="n">
        <x:v>9862</x:v>
      </x:c>
      <x:c r="AB7" s="23" t="n">
        <x:v>6153</x:v>
      </x:c>
      <x:c r="AC7" s="23" t="n">
        <x:v>488</x:v>
      </x:c>
      <x:c r="AD7" s="23" t="n">
        <x:v>2960</x:v>
      </x:c>
      <x:c r="AE7" s="23" t="n">
        <x:v>1867</x:v>
      </x:c>
      <x:c r="AF7" s="23" t="n">
        <x:v>2457</x:v>
      </x:c>
      <x:c r="AG7" s="23" t="n">
        <x:v>761</x:v>
      </x:c>
      <x:c r="AH7" s="23" t="n">
        <x:v>2717</x:v>
      </x:c>
      <x:c r="AI7" s="23" t="n">
        <x:v>5371</x:v>
      </x:c>
      <x:c r="AJ7" s="23" t="n">
        <x:v>4290</x:v>
      </x:c>
      <x:c r="AK7" s="23" t="n">
        <x:v>510</x:v>
      </x:c>
      <x:c r="AL7" s="23" t="n">
        <x:v>8449</x:v>
      </x:c>
      <x:c r="AM7" s="23" t="n">
        <x:v>7904</x:v>
      </x:c>
      <x:c r="AN7" s="23" t="n">
        <x:v>5741</x:v>
      </x:c>
      <x:c r="AO7" s="17" t="str">
        <x:v>Ficha_INE_Isiboro_Secure.pdf</x:v>
      </x:c>
      <x:c r="AP7" s="17" t="str">
        <x:v>Instituto Nacional de Estadística, Censo de Población y Vivienda 2024</x:v>
      </x:c>
      <x:c r="AQ7" s="20" t="n">
        <x:f>IFERROR(I7/G7,0)</x:f>
        <x:v>0.47070251787379547</x:v>
      </x:c>
      <x:c r="AR7" s="20" t="n">
        <x:f>IFERROR(J7/G7,0)</x:f>
        <x:v>0.45791886851103514</x:v>
      </x:c>
      <x:c r="AS7" s="20" t="n">
        <x:f>IFERROR(M7/G7,0)</x:f>
        <x:v>0.0517174386073982</x:v>
      </x:c>
      <x:c r="AT7" s="20" t="n">
        <x:f>IFERROR(R7/N7,0)</x:f>
        <x:v>0.0910949728548262</x:v>
      </x:c>
      <x:c r="AU7" s="20" t="n">
        <x:f>IFERROR(V7/7,0)</x:f>
        <x:v>1414.2857142857142</x:v>
      </x:c>
      <x:c r="AV7" s="20" t="n">
        <x:f>IFERROR(X7/7,0)</x:f>
        <x:v>3038.285714285714</x:v>
      </x:c>
      <x:c r="AW7" s="20" t="n">
        <x:f>IFERROR(AE7/7,0)</x:f>
        <x:v>266.7142857142857</x:v>
      </x:c>
      <x:c r="AX7" s="20" t="n">
        <x:f>IFERROR(AB7/7,0)</x:f>
        <x:v>879</x:v>
      </x:c>
      <x:c r="AY7" s="20" t="n">
        <x:f>IFERROR(AN7/7,0)</x:f>
        <x:v>820.1428571428571</x:v>
      </x:c>
    </x:row>
    <x:row r="8" ht="22" customHeight="1">
      <x:c r="A8" s="17" t="str">
        <x:v>AP-1301</x:v>
      </x:c>
      <x:c r="B8" s="17" t="str">
        <x:v>Carrasco</x:v>
      </x:c>
      <x:c r="C8" s="17" t="str">
        <x:v>Sí</x:v>
      </x:c>
      <x:c r="D8" s="17" t="str">
        <x:v>COCHABAMBA, SANTA CRUZ</x:v>
      </x:c>
      <x:c r="E8" s="17" t="str">
        <x:v>CHAPARE, CARRASCO, TIRAQUE, MÁS 1 PROVINCIAS</x:v>
      </x:c>
      <x:c r="F8" s="17" t="str">
        <x:v>COLOMI, VILLA TUNARI, TOTORA, MÁS 7</x:v>
      </x:c>
      <x:c r="G8" s="23" t="n">
        <x:v>17387</x:v>
      </x:c>
      <x:c r="H8" s="23" t="n">
        <x:v>10433</x:v>
      </x:c>
      <x:c r="I8" s="23" t="n">
        <x:v>6954</x:v>
      </x:c>
      <x:c r="J8" s="23" t="n">
        <x:v>5972</x:v>
      </x:c>
      <x:c r="K8" s="23" t="n">
        <x:v>6630</x:v>
      </x:c>
      <x:c r="L8" s="23" t="n">
        <x:v>3782</x:v>
      </x:c>
      <x:c r="M8" s="23" t="n">
        <x:v>1003</x:v>
      </x:c>
      <x:c r="N8" s="23" t="n">
        <x:v>11613</x:v>
      </x:c>
      <x:c r="O8" s="23" t="n">
        <x:v>809</x:v>
      </x:c>
      <x:c r="P8" s="23" t="n">
        <x:v>4950</x:v>
      </x:c>
      <x:c r="Q8" s="23" t="n">
        <x:v>4615</x:v>
      </x:c>
      <x:c r="R8" s="23" t="n">
        <x:v>1182</x:v>
      </x:c>
      <x:c r="S8" s="23" t="n">
        <x:v>11068</x:v>
      </x:c>
      <x:c r="T8" s="23" t="n">
        <x:v>1257</x:v>
      </x:c>
      <x:c r="U8" s="23" t="n">
        <x:v>7982</x:v>
      </x:c>
      <x:c r="V8" s="23" t="n">
        <x:v>9152</x:v>
      </x:c>
      <x:c r="W8" s="23" t="n">
        <x:v>443</x:v>
      </x:c>
      <x:c r="X8" s="23" t="n">
        <x:v>14677</x:v>
      </x:c>
      <x:c r="Y8" s="23" t="n">
        <x:v>1710</x:v>
      </x:c>
      <x:c r="Z8" s="23" t="n">
        <x:v>9594</x:v>
      </x:c>
      <x:c r="AA8" s="23" t="n">
        <x:v>8611</x:v>
      </x:c>
      <x:c r="AB8" s="23" t="n">
        <x:v>2180</x:v>
      </x:c>
      <x:c r="AC8" s="23" t="n">
        <x:v>507</x:v>
      </x:c>
      <x:c r="AD8" s="23" t="n">
        <x:v>5853</x:v>
      </x:c>
      <x:c r="AE8" s="23" t="n">
        <x:v>2039</x:v>
      </x:c>
      <x:c r="AF8" s="23" t="n">
        <x:v>4736</x:v>
      </x:c>
      <x:c r="AG8" s="23" t="n">
        <x:v>187</x:v>
      </x:c>
      <x:c r="AH8" s="23" t="n">
        <x:v>4912</x:v>
      </x:c>
      <x:c r="AI8" s="23" t="n">
        <x:v>2219</x:v>
      </x:c>
      <x:c r="AJ8" s="23" t="n">
        <x:v>6248</x:v>
      </x:c>
      <x:c r="AK8" s="23" t="n">
        <x:v>381</x:v>
      </x:c>
      <x:c r="AL8" s="23" t="n">
        <x:v>6951</x:v>
      </x:c>
      <x:c r="AM8" s="23" t="n">
        <x:v>6275</x:v>
      </x:c>
      <x:c r="AN8" s="23" t="n">
        <x:v>3361</x:v>
      </x:c>
      <x:c r="AO8" s="17" t="str">
        <x:v>Ficha_INE_Carrasco.pdf</x:v>
      </x:c>
      <x:c r="AP8" s="17" t="str">
        <x:v>Instituto Nacional de Estadística, Censo de Población y Vivienda 2024</x:v>
      </x:c>
      <x:c r="AQ8" s="20" t="n">
        <x:f>IFERROR(I8/G8,0)</x:f>
        <x:v>0.3999539886121815</x:v>
      </x:c>
      <x:c r="AR8" s="20" t="n">
        <x:f>IFERROR(J8/G8,0)</x:f>
        <x:v>0.3434750100649911</x:v>
      </x:c>
      <x:c r="AS8" s="20" t="n">
        <x:f>IFERROR(M8/G8,0)</x:f>
        <x:v>0.05768677747742566</x:v>
      </x:c>
      <x:c r="AT8" s="20" t="n">
        <x:f>IFERROR(R8/N8,0)</x:f>
        <x:v>0.10178248514595711</x:v>
      </x:c>
      <x:c r="AU8" s="20" t="n">
        <x:f>IFERROR(V8/8,0)</x:f>
        <x:v>1144</x:v>
      </x:c>
      <x:c r="AV8" s="20" t="n">
        <x:f>IFERROR(X8/8,0)</x:f>
        <x:v>1834.625</x:v>
      </x:c>
      <x:c r="AW8" s="20" t="n">
        <x:f>IFERROR(AE8/8,0)</x:f>
        <x:v>254.875</x:v>
      </x:c>
      <x:c r="AX8" s="20" t="n">
        <x:f>IFERROR(AB8/8,0)</x:f>
        <x:v>272.5</x:v>
      </x:c>
      <x:c r="AY8" s="20" t="n">
        <x:f>IFERROR(AN8/8,0)</x:f>
        <x:v>420.125</x:v>
      </x:c>
    </x:row>
    <x:row r="9" ht="22" customHeight="1">
      <x:c r="A9" s="17" t="str">
        <x:v>Charagua-03</x:v>
      </x:c>
      <x:c r="B9" s="17" t="str">
        <x:v>Yande Yari</x:v>
      </x:c>
      <x:c r="C9" s="17" t="str">
        <x:v>Sí</x:v>
      </x:c>
      <x:c r="D9" s="17" t="str">
        <x:v>SANTA CRUZ</x:v>
      </x:c>
      <x:c r="E9" s="17" t="str">
        <x:v>CORDILLERA</x:v>
      </x:c>
      <x:c r="F9" s="17" t="str">
        <x:v>CHARAGUA (AUTONOMÍA GUARANÍ</x:v>
      </x:c>
      <x:c r="G9" s="23" t="n">
        <x:v>13922</x:v>
      </x:c>
      <x:c r="H9" s="23" t="n">
        <x:v>7054</x:v>
      </x:c>
      <x:c r="I9" s="23" t="n">
        <x:v>6868</x:v>
      </x:c>
      <x:c r="J9" s="23" t="n">
        <x:v>6758</x:v>
      </x:c>
      <x:c r="K9" s="23" t="n">
        <x:v>3994</x:v>
      </x:c>
      <x:c r="L9" s="23" t="n">
        <x:v>2227</x:v>
      </x:c>
      <x:c r="M9" s="23" t="n">
        <x:v>943</x:v>
      </x:c>
      <x:c r="N9" s="23" t="n">
        <x:v>6961</x:v>
      </x:c>
      <x:c r="O9" s="23" t="n">
        <x:v>493</x:v>
      </x:c>
      <x:c r="P9" s="23" t="n">
        <x:v>2548</x:v>
      </x:c>
      <x:c r="Q9" s="23" t="n">
        <x:v>3072</x:v>
      </x:c>
      <x:c r="R9" s="23" t="n">
        <x:v>663</x:v>
      </x:c>
      <x:c r="S9" s="23" t="n">
        <x:v>4439</x:v>
      </x:c>
      <x:c r="T9" s="23" t="n">
        <x:v>946</x:v>
      </x:c>
      <x:c r="U9" s="23" t="n">
        <x:v>1614</x:v>
      </x:c>
      <x:c r="V9" s="23" t="n">
        <x:v>2716</x:v>
      </x:c>
      <x:c r="W9" s="23" t="n">
        <x:v>276</x:v>
      </x:c>
      <x:c r="X9" s="23" t="n">
        <x:v>10043</x:v>
      </x:c>
      <x:c r="Y9" s="23" t="n">
        <x:v>2019</x:v>
      </x:c>
      <x:c r="Z9" s="23" t="n">
        <x:v>3822</x:v>
      </x:c>
      <x:c r="AA9" s="23" t="n">
        <x:v>3376</x:v>
      </x:c>
      <x:c r="AB9" s="23" t="n">
        <x:v>2270</x:v>
      </x:c>
      <x:c r="AC9" s="23" t="n">
        <x:v>484</x:v>
      </x:c>
      <x:c r="AD9" s="23" t="n">
        <x:v>432</x:v>
      </x:c>
      <x:c r="AE9" s="23" t="n">
        <x:v>1896</x:v>
      </x:c>
      <x:c r="AF9" s="23" t="n">
        <x:v>11</x:v>
      </x:c>
      <x:c r="AG9" s="23" t="n">
        <x:v>319</x:v>
      </x:c>
      <x:c r="AH9" s="23" t="n">
        <x:v>1019</x:v>
      </x:c>
      <x:c r="AI9" s="23" t="n">
        <x:v>863</x:v>
      </x:c>
      <x:c r="AJ9" s="23" t="n">
        <x:v>2443</x:v>
      </x:c>
      <x:c r="AK9" s="23" t="n">
        <x:v>5</x:v>
      </x:c>
      <x:c r="AL9" s="23" t="n">
        <x:v>3005</x:v>
      </x:c>
      <x:c r="AM9" s="23" t="n">
        <x:v>2277</x:v>
      </x:c>
      <x:c r="AN9" s="23" t="n">
        <x:v>1353</x:v>
      </x:c>
      <x:c r="AO9" s="17" t="str">
        <x:v>Ficha_INE_Yande_Yari.pdf</x:v>
      </x:c>
      <x:c r="AP9" s="17" t="str">
        <x:v>Instituto Nacional de Estadística, Censo de Población y Vivienda 2024</x:v>
      </x:c>
      <x:c r="AQ9" s="20" t="n">
        <x:f>IFERROR(I9/G9,0)</x:f>
        <x:v>0.4933199252980894</x:v>
      </x:c>
      <x:c r="AR9" s="20" t="n">
        <x:f>IFERROR(J9/G9,0)</x:f>
        <x:v>0.4854187616721735</x:v>
      </x:c>
      <x:c r="AS9" s="20" t="n">
        <x:f>IFERROR(M9/G9,0)</x:f>
        <x:v>0.06773452090216923</x:v>
      </x:c>
      <x:c r="AT9" s="20" t="n">
        <x:f>IFERROR(R9/N9,0)</x:f>
        <x:v>0.09524493607240339</x:v>
      </x:c>
      <x:c r="AU9" s="20" t="n">
        <x:f>IFERROR(V9/9,0)</x:f>
        <x:v>301.77777777777777</x:v>
      </x:c>
      <x:c r="AV9" s="20" t="n">
        <x:f>IFERROR(X9/9,0)</x:f>
        <x:v>1115.888888888889</x:v>
      </x:c>
      <x:c r="AW9" s="20" t="n">
        <x:f>IFERROR(AE9/9,0)</x:f>
        <x:v>210.66666666666666</x:v>
      </x:c>
      <x:c r="AX9" s="20" t="n">
        <x:f>IFERROR(AB9/9,0)</x:f>
        <x:v>252.22222222222223</x:v>
      </x:c>
      <x:c r="AY9" s="20" t="n">
        <x:f>IFERROR(AN9/9,0)</x:f>
        <x:v>150.33333333333334</x:v>
      </x:c>
    </x:row>
    <x:row r="10" ht="22" customHeight="1">
      <x:c r="A10" s="17" t="str">
        <x:v>Charagua-04</x:v>
      </x:c>
      <x:c r="B10" s="17" t="str">
        <x:v>El Chore</x:v>
      </x:c>
      <x:c r="C10" s="17" t="str">
        <x:v>Sí</x:v>
      </x:c>
      <x:c r="D10" s="17" t="str">
        <x:v>COCHABAMBA, SANTA CRUZ</x:v>
      </x:c>
      <x:c r="E10" s="17" t="str">
        <x:v>CARRASCO, ICHILO, SARA</x:v>
      </x:c>
      <x:c r="F10" s="17" t="str">
        <x:v>CHIMORÉ, YAPACANÍ, SAN JUAN, MÁS 1</x:v>
      </x:c>
      <x:c r="G10" s="23" t="n">
        <x:v>9452</x:v>
      </x:c>
      <x:c r="H10" s="23" t="n">
        <x:v>6615</x:v>
      </x:c>
      <x:c r="I10" s="23" t="n">
        <x:v>2837</x:v>
      </x:c>
      <x:c r="J10" s="23" t="n">
        <x:v>1569</x:v>
      </x:c>
      <x:c r="K10" s="23" t="n">
        <x:v>3972</x:v>
      </x:c>
      <x:c r="L10" s="23" t="n">
        <x:v>3080</x:v>
      </x:c>
      <x:c r="M10" s="23" t="n">
        <x:v>831</x:v>
      </x:c>
      <x:c r="N10" s="23" t="n">
        <x:v>7873</x:v>
      </x:c>
      <x:c r="O10" s="23" t="n">
        <x:v>362</x:v>
      </x:c>
      <x:c r="P10" s="23" t="n">
        <x:v>2961</x:v>
      </x:c>
      <x:c r="Q10" s="23" t="n">
        <x:v>3506</x:v>
      </x:c>
      <x:c r="R10" s="23" t="n">
        <x:v>1016</x:v>
      </x:c>
      <x:c r="S10" s="23" t="n">
        <x:v>7472</x:v>
      </x:c>
      <x:c r="T10" s="23" t="n">
        <x:v>781</x:v>
      </x:c>
      <x:c r="U10" s="23" t="n">
        <x:v>5768</x:v>
      </x:c>
      <x:c r="V10" s="23" t="n">
        <x:v>6187</x:v>
      </x:c>
      <x:c r="W10" s="23" t="n">
        <x:v>342</x:v>
      </x:c>
      <x:c r="X10" s="23" t="n">
        <x:v>6880</x:v>
      </x:c>
      <x:c r="Y10" s="23" t="n">
        <x:v>1934</x:v>
      </x:c>
      <x:c r="Z10" s="23" t="n">
        <x:v>5575</x:v>
      </x:c>
      <x:c r="AA10" s="23" t="n">
        <x:v>5298</x:v>
      </x:c>
      <x:c r="AB10" s="23" t="n">
        <x:v>15</x:v>
      </x:c>
      <x:c r="AC10" s="23" t="n">
        <x:v>873</x:v>
      </x:c>
      <x:c r="AD10" s="23" t="n">
        <x:v>4075</x:v>
      </x:c>
      <x:c r="AE10" s="23" t="n">
        <x:v>277</x:v>
      </x:c>
      <x:c r="AF10" s="23" t="n">
        <x:v>1225</x:v>
      </x:c>
      <x:c r="AG10" s="23" t="n">
        <x:v>42</x:v>
      </x:c>
      <x:c r="AH10" s="23" t="n">
        <x:v>3831</x:v>
      </x:c>
      <x:c r="AI10" s="23" t="n">
        <x:v>599</x:v>
      </x:c>
      <x:c r="AJ10" s="23" t="n">
        <x:v>4646</x:v>
      </x:c>
      <x:c r="AK10" s="23" t="n">
        <x:v>8</x:v>
      </x:c>
      <x:c r="AL10" s="23" t="n">
        <x:v>4317</x:v>
      </x:c>
      <x:c r="AM10" s="23" t="n">
        <x:v>3705</x:v>
      </x:c>
      <x:c r="AN10" s="23" t="n">
        <x:v>1453</x:v>
      </x:c>
      <x:c r="AO10" s="17" t="str">
        <x:v>Ficha_INE_El_Chore.pdf</x:v>
      </x:c>
      <x:c r="AP10" s="17" t="str">
        <x:v>Instituto Nacional de Estadística, Censo de Población y Vivienda 2024</x:v>
      </x:c>
      <x:c r="AQ10" s="20" t="n">
        <x:f>IFERROR(I10/G10,0)</x:f>
        <x:v>0.3001481168006771</x:v>
      </x:c>
      <x:c r="AR10" s="20" t="n">
        <x:f>IFERROR(J10/G10,0)</x:f>
        <x:v>0.16599661447312739</x:v>
      </x:c>
      <x:c r="AS10" s="20" t="n">
        <x:f>IFERROR(M10/G10,0)</x:f>
        <x:v>0.08791790097333897</x:v>
      </x:c>
      <x:c r="AT10" s="20" t="n">
        <x:f>IFERROR(R10/N10,0)</x:f>
        <x:v>0.12904864727549853</x:v>
      </x:c>
      <x:c r="AU10" s="20" t="n">
        <x:f>IFERROR(V10/10,0)</x:f>
        <x:v>618.7</x:v>
      </x:c>
      <x:c r="AV10" s="20" t="n">
        <x:f>IFERROR(X10/10,0)</x:f>
        <x:v>688</x:v>
      </x:c>
      <x:c r="AW10" s="20" t="n">
        <x:f>IFERROR(AE10/10,0)</x:f>
        <x:v>27.7</x:v>
      </x:c>
      <x:c r="AX10" s="20" t="n">
        <x:f>IFERROR(AB10/10,0)</x:f>
        <x:v>1.5</x:v>
      </x:c>
      <x:c r="AY10" s="20" t="n">
        <x:f>IFERROR(AN10/10,0)</x:f>
        <x:v>145.3</x:v>
      </x:c>
    </x:row>
    <x:row r="11" ht="22" customHeight="1">
      <x:c r="A11" s="17" t="str">
        <x:v>AP-2101</x:v>
      </x:c>
      <x:c r="B11" s="17" t="str">
        <x:v>Aguarague</x:v>
      </x:c>
      <x:c r="C11" s="17" t="str">
        <x:v>Sí</x:v>
      </x:c>
      <x:c r="D11" s="17" t="str">
        <x:v>TARIJA</x:v>
      </x:c>
      <x:c r="E11" s="17" t="str">
        <x:v>GRAN CHACO</x:v>
      </x:c>
      <x:c r="F11" s="17" t="str">
        <x:v>YACUIBA, CARAPARÍ, VILLA MONTES</x:v>
      </x:c>
      <x:c r="G11" s="23" t="n">
        <x:v>7349</x:v>
      </x:c>
      <x:c r="H11" s="23" t="n">
        <x:v>4037</x:v>
      </x:c>
      <x:c r="I11" s="23" t="n">
        <x:v>3312</x:v>
      </x:c>
      <x:c r="J11" s="23" t="n">
        <x:v>2630</x:v>
      </x:c>
      <x:c r="K11" s="23" t="n">
        <x:v>2468</x:v>
      </x:c>
      <x:c r="L11" s="23" t="n">
        <x:v>1505</x:v>
      </x:c>
      <x:c r="M11" s="23" t="n">
        <x:v>746</x:v>
      </x:c>
      <x:c r="N11" s="23" t="n">
        <x:v>4831</x:v>
      </x:c>
      <x:c r="O11" s="23" t="n">
        <x:v>163</x:v>
      </x:c>
      <x:c r="P11" s="23" t="n">
        <x:v>831</x:v>
      </x:c>
      <x:c r="Q11" s="23" t="n">
        <x:v>1948</x:v>
      </x:c>
      <x:c r="R11" s="23" t="n">
        <x:v>1866</x:v>
      </x:c>
      <x:c r="S11" s="23" t="n">
        <x:v>3460</x:v>
      </x:c>
      <x:c r="T11" s="23" t="n">
        <x:v>1593</x:v>
      </x:c>
      <x:c r="U11" s="23" t="n">
        <x:v>1281</x:v>
      </x:c>
      <x:c r="V11" s="23" t="n">
        <x:v>650</x:v>
      </x:c>
      <x:c r="W11" s="23" t="n">
        <x:v>464</x:v>
      </x:c>
      <x:c r="X11" s="23" t="n">
        <x:v>4823</x:v>
      </x:c>
      <x:c r="Y11" s="23" t="n">
        <x:v>762</x:v>
      </x:c>
      <x:c r="Z11" s="23" t="n">
        <x:v>2764</x:v>
      </x:c>
      <x:c r="AA11" s="23" t="n">
        <x:v>2142</x:v>
      </x:c>
      <x:c r="AB11" s="23" t="n">
        <x:v>1967</x:v>
      </x:c>
      <x:c r="AC11" s="23" t="n">
        <x:v>47</x:v>
      </x:c>
      <x:c r="AD11" s="23" t="n">
        <x:v>104</x:v>
      </x:c>
      <x:c r="AE11" s="23" t="n">
        <x:v>1902</x:v>
      </x:c>
      <x:c r="AF11" s="23" t="n">
        <x:v>22</x:v>
      </x:c>
      <x:c r="AG11" s="23" t="n">
        <x:v>1261</x:v>
      </x:c>
      <x:c r="AH11" s="23" t="n">
        <x:v>135</x:v>
      </x:c>
      <x:c r="AI11" s="23" t="n">
        <x:v>1159</x:v>
      </x:c>
      <x:c r="AJ11" s="23" t="n">
        <x:v>291</x:v>
      </x:c>
      <x:c r="AK11" s="23" t="n">
        <x:v>1504</x:v>
      </x:c>
      <x:c r="AL11" s="23" t="n">
        <x:v>287</x:v>
      </x:c>
      <x:c r="AM11" s="23" t="n">
        <x:v>1929</x:v>
      </x:c>
      <x:c r="AN11" s="23" t="n">
        <x:v>1738</x:v>
      </x:c>
      <x:c r="AO11" s="17" t="str">
        <x:v>Ficha_INE_Aguarague.pdf</x:v>
      </x:c>
      <x:c r="AP11" s="17" t="str">
        <x:v>Instituto Nacional de Estadística, Censo de Población y Vivienda 2024</x:v>
      </x:c>
      <x:c r="AQ11" s="20" t="n">
        <x:f>IFERROR(I11/G11,0)</x:f>
        <x:v>0.45067356102871137</x:v>
      </x:c>
      <x:c r="AR11" s="20" t="n">
        <x:f>IFERROR(J11/G11,0)</x:f>
        <x:v>0.3578718192951422</x:v>
      </x:c>
      <x:c r="AS11" s="20" t="n">
        <x:f>IFERROR(M11/G11,0)</x:f>
        <x:v>0.10151040957953462</x:v>
      </x:c>
      <x:c r="AT11" s="20" t="n">
        <x:f>IFERROR(R11/N11,0)</x:f>
        <x:v>0.3862554336576278</x:v>
      </x:c>
      <x:c r="AU11" s="20" t="n">
        <x:f>IFERROR(V11/11,0)</x:f>
        <x:v>59.09090909090909</x:v>
      </x:c>
      <x:c r="AV11" s="20" t="n">
        <x:f>IFERROR(X11/11,0)</x:f>
        <x:v>438.45454545454544</x:v>
      </x:c>
      <x:c r="AW11" s="20" t="n">
        <x:f>IFERROR(AE11/11,0)</x:f>
        <x:v>172.9090909090909</x:v>
      </x:c>
      <x:c r="AX11" s="20" t="n">
        <x:f>IFERROR(AB11/11,0)</x:f>
        <x:v>178.8181818181818</x:v>
      </x:c>
      <x:c r="AY11" s="20" t="n">
        <x:f>IFERROR(AN11/11,0)</x:f>
        <x:v>158</x:v>
      </x:c>
    </x:row>
    <x:row r="12" ht="22" customHeight="1">
      <x:c r="A12" s="17" t="str">
        <x:v>AP-0901</x:v>
      </x:c>
      <x:c r="B12" s="17" t="str">
        <x:v>Amboró</x:v>
      </x:c>
      <x:c r="C12" s="17" t="str">
        <x:v>Sí</x:v>
      </x:c>
      <x:c r="D12" s="17" t="str">
        <x:v>COCHABAMBA, SANTA CRUZ</x:v>
      </x:c>
      <x:c r="E12" s="17" t="str">
        <x:v>CARRASCO, ANDRÉS IBÁÑEZ, ICHILO, MÁS 2 PROVINCIAS</x:v>
      </x:c>
      <x:c r="F12" s="17" t="str">
        <x:v>POJO, ENTRE RÍOS, EL TORNO, MÁS 7</x:v>
      </x:c>
      <x:c r="G12" s="23" t="n">
        <x:v>5456</x:v>
      </x:c>
      <x:c r="H12" s="23" t="n">
        <x:v>3268</x:v>
      </x:c>
      <x:c r="I12" s="23" t="n">
        <x:v>2188</x:v>
      </x:c>
      <x:c r="J12" s="23" t="n">
        <x:v>2016</x:v>
      </x:c>
      <x:c r="K12" s="23" t="n">
        <x:v>1689</x:v>
      </x:c>
      <x:c r="L12" s="23" t="n">
        <x:v>1272</x:v>
      </x:c>
      <x:c r="M12" s="23" t="n">
        <x:v>479</x:v>
      </x:c>
      <x:c r="N12" s="23" t="n">
        <x:v>3518</x:v>
      </x:c>
      <x:c r="O12" s="23" t="n">
        <x:v>302</x:v>
      </x:c>
      <x:c r="P12" s="23" t="n">
        <x:v>1506</x:v>
      </x:c>
      <x:c r="Q12" s="23" t="n">
        <x:v>1307</x:v>
      </x:c>
      <x:c r="R12" s="23" t="n">
        <x:v>382</x:v>
      </x:c>
      <x:c r="S12" s="23" t="n">
        <x:v>3170</x:v>
      </x:c>
      <x:c r="T12" s="23" t="n">
        <x:v>481</x:v>
      </x:c>
      <x:c r="U12" s="23" t="n">
        <x:v>2151</x:v>
      </x:c>
      <x:c r="V12" s="23" t="n">
        <x:v>2460</x:v>
      </x:c>
      <x:c r="W12" s="23" t="n">
        <x:v>175</x:v>
      </x:c>
      <x:c r="X12" s="23" t="n">
        <x:v>4111</x:v>
      </x:c>
      <x:c r="Y12" s="23" t="n">
        <x:v>974</x:v>
      </x:c>
      <x:c r="Z12" s="23" t="n">
        <x:v>2411</x:v>
      </x:c>
      <x:c r="AA12" s="23" t="n">
        <x:v>1958</x:v>
      </x:c>
      <x:c r="AB12" s="23" t="n">
        <x:v>691</x:v>
      </x:c>
      <x:c r="AC12" s="23" t="n">
        <x:v>177</x:v>
      </x:c>
      <x:c r="AD12" s="23" t="n">
        <x:v>1060</x:v>
      </x:c>
      <x:c r="AE12" s="23" t="n">
        <x:v>443</x:v>
      </x:c>
      <x:c r="AF12" s="23" t="n">
        <x:v>903</x:v>
      </x:c>
      <x:c r="AG12" s="23" t="n">
        <x:v>47</x:v>
      </x:c>
      <x:c r="AH12" s="23" t="n">
        <x:v>1207</x:v>
      </x:c>
      <x:c r="AI12" s="23" t="n">
        <x:v>508</x:v>
      </x:c>
      <x:c r="AJ12" s="23" t="n">
        <x:v>1427</x:v>
      </x:c>
      <x:c r="AK12" s="23" t="n">
        <x:v>8</x:v>
      </x:c>
      <x:c r="AL12" s="23" t="n">
        <x:v>1621</x:v>
      </x:c>
      <x:c r="AM12" s="23" t="n">
        <x:v>1493</x:v>
      </x:c>
      <x:c r="AN12" s="23" t="n">
        <x:v>923</x:v>
      </x:c>
      <x:c r="AO12" s="17" t="str">
        <x:v>Ficha_INE_Amboro.pdf</x:v>
      </x:c>
      <x:c r="AP12" s="17" t="str">
        <x:v>Instituto Nacional de Estadística, Censo de Población y Vivienda 2024</x:v>
      </x:c>
      <x:c r="AQ12" s="20" t="n">
        <x:f>IFERROR(I12/G12,0)</x:f>
        <x:v>0.4010263929618768</x:v>
      </x:c>
      <x:c r="AR12" s="20" t="n">
        <x:f>IFERROR(J12/G12,0)</x:f>
        <x:v>0.36950146627565983</x:v>
      </x:c>
      <x:c r="AS12" s="20" t="n">
        <x:f>IFERROR(M12/G12,0)</x:f>
        <x:v>0.08779325513196481</x:v>
      </x:c>
      <x:c r="AT12" s="20" t="n">
        <x:f>IFERROR(R12/N12,0)</x:f>
        <x:v>0.10858442296759523</x:v>
      </x:c>
      <x:c r="AU12" s="20" t="n">
        <x:f>IFERROR(V12/12,0)</x:f>
        <x:v>205</x:v>
      </x:c>
      <x:c r="AV12" s="20" t="n">
        <x:f>IFERROR(X12/12,0)</x:f>
        <x:v>342.5833333333333</x:v>
      </x:c>
      <x:c r="AW12" s="20" t="n">
        <x:f>IFERROR(AE12/12,0)</x:f>
        <x:v>36.916666666666664</x:v>
      </x:c>
      <x:c r="AX12" s="20" t="n">
        <x:f>IFERROR(AB12/12,0)</x:f>
        <x:v>57.583333333333336</x:v>
      </x:c>
      <x:c r="AY12" s="20" t="n">
        <x:f>IFERROR(AN12/12,0)</x:f>
        <x:v>76.91666666666667</x:v>
      </x:c>
    </x:row>
    <x:row r="13" ht="22" customHeight="1">
      <x:c r="A13" s="17" t="str">
        <x:v>AP-1501</x:v>
      </x:c>
      <x:c r="B13" s="17" t="str">
        <x:v>Cotapata</x:v>
      </x:c>
      <x:c r="C13" s="17" t="str">
        <x:v>Sí</x:v>
      </x:c>
      <x:c r="D13" s="17" t="str">
        <x:v>LA PAZ</x:v>
      </x:c>
      <x:c r="E13" s="17" t="str">
        <x:v>MURILLO, NOR YUNGAS</x:v>
      </x:c>
      <x:c r="F13" s="17" t="str">
        <x:v>NUESTRA SEÑORA DE LA PAZ, COROICO</x:v>
      </x:c>
      <x:c r="G13" s="23" t="n">
        <x:v>4983</x:v>
      </x:c>
      <x:c r="H13" s="23" t="n">
        <x:v>2784</x:v>
      </x:c>
      <x:c r="I13" s="23" t="n">
        <x:v>2199</x:v>
      </x:c>
      <x:c r="J13" s="23" t="n">
        <x:v>1598</x:v>
      </x:c>
      <x:c r="K13" s="23" t="n">
        <x:v>1742</x:v>
      </x:c>
      <x:c r="L13" s="23" t="n">
        <x:v>1147</x:v>
      </x:c>
      <x:c r="M13" s="23" t="n">
        <x:v>496</x:v>
      </x:c>
      <x:c r="N13" s="23" t="n">
        <x:v>3453</x:v>
      </x:c>
      <x:c r="O13" s="23" t="n">
        <x:v>168</x:v>
      </x:c>
      <x:c r="P13" s="23" t="n">
        <x:v>693</x:v>
      </x:c>
      <x:c r="Q13" s="23" t="n">
        <x:v>1687</x:v>
      </x:c>
      <x:c r="R13" s="23" t="n">
        <x:v>859</x:v>
      </x:c>
      <x:c r="S13" s="23" t="n">
        <x:v>2850</x:v>
      </x:c>
      <x:c r="T13" s="23" t="n">
        <x:v>674</x:v>
      </x:c>
      <x:c r="U13" s="23" t="n">
        <x:v>1665</x:v>
      </x:c>
      <x:c r="V13" s="23" t="n">
        <x:v>1347</x:v>
      </x:c>
      <x:c r="W13" s="23" t="n">
        <x:v>278</x:v>
      </x:c>
      <x:c r="X13" s="23" t="n">
        <x:v>3092</x:v>
      </x:c>
      <x:c r="Y13" s="23" t="n">
        <x:v>1253</x:v>
      </x:c>
      <x:c r="Z13" s="23" t="n">
        <x:v>1992</x:v>
      </x:c>
      <x:c r="AA13" s="23" t="n">
        <x:v>1826</x:v>
      </x:c>
      <x:c r="AB13" s="23" t="n">
        <x:v>1059</x:v>
      </x:c>
      <x:c r="AC13" s="23" t="n">
        <x:v>39</x:v>
      </x:c>
      <x:c r="AD13" s="23" t="n">
        <x:v>646</x:v>
      </x:c>
      <x:c r="AE13" s="23" t="n">
        <x:v>434</x:v>
      </x:c>
      <x:c r="AF13" s="23" t="n">
        <x:v>449</x:v>
      </x:c>
      <x:c r="AG13" s="23" t="n">
        <x:v>133</x:v>
      </x:c>
      <x:c r="AH13" s="23" t="n">
        <x:v>750</x:v>
      </x:c>
      <x:c r="AI13" s="23" t="n">
        <x:v>969</x:v>
      </x:c>
      <x:c r="AJ13" s="23" t="n">
        <x:v>796</x:v>
      </x:c>
      <x:c r="AK13" s="23" t="n">
        <x:v>9</x:v>
      </x:c>
      <x:c r="AL13" s="23" t="n">
        <x:v>957</x:v>
      </x:c>
      <x:c r="AM13" s="23" t="n">
        <x:v>1467</x:v>
      </x:c>
      <x:c r="AN13" s="23" t="n">
        <x:v>1055</x:v>
      </x:c>
      <x:c r="AO13" s="17" t="str">
        <x:v>Ficha_INE_Cotapata.pdf</x:v>
      </x:c>
      <x:c r="AP13" s="17" t="str">
        <x:v>Instituto Nacional de Estadística, Censo de Población y Vivienda 2024</x:v>
      </x:c>
      <x:c r="AQ13" s="20" t="n">
        <x:f>IFERROR(I13/G13,0)</x:f>
        <x:v>0.44130042143287174</x:v>
      </x:c>
      <x:c r="AR13" s="20" t="n">
        <x:f>IFERROR(J13/G13,0)</x:f>
        <x:v>0.3206903471804134</x:v>
      </x:c>
      <x:c r="AS13" s="20" t="n">
        <x:f>IFERROR(M13/G13,0)</x:f>
        <x:v>0.09953843066425848</x:v>
      </x:c>
      <x:c r="AT13" s="20" t="n">
        <x:f>IFERROR(R13/N13,0)</x:f>
        <x:v>0.2487691862148856</x:v>
      </x:c>
      <x:c r="AU13" s="20" t="n">
        <x:f>IFERROR(V13/13,0)</x:f>
        <x:v>103.61538461538461</x:v>
      </x:c>
      <x:c r="AV13" s="20" t="n">
        <x:f>IFERROR(X13/13,0)</x:f>
        <x:v>237.84615384615384</x:v>
      </x:c>
      <x:c r="AW13" s="20" t="n">
        <x:f>IFERROR(AE13/13,0)</x:f>
        <x:v>33.38461538461539</x:v>
      </x:c>
      <x:c r="AX13" s="20" t="n">
        <x:f>IFERROR(AB13/13,0)</x:f>
        <x:v>81.46153846153847</x:v>
      </x:c>
      <x:c r="AY13" s="20" t="n">
        <x:f>IFERROR(AN13/13,0)</x:f>
        <x:v>81.15384615384616</x:v>
      </x:c>
    </x:row>
    <x:row r="14" ht="22" customHeight="1">
      <x:c r="A14" s="17" t="str">
        <x:v>AP-1601</x:v>
      </x:c>
      <x:c r="B14" s="17" t="str">
        <x:v>Madidi</x:v>
      </x:c>
      <x:c r="C14" s="17" t="str">
        <x:v>Sí</x:v>
      </x:c>
      <x:c r="D14" s="17" t="str">
        <x:v>LA PAZ</x:v>
      </x:c>
      <x:c r="E14" s="17" t="str">
        <x:v>FRANZ TAMAYO, ABEL ITURRALDE</x:v>
      </x:c>
      <x:c r="F14" s="17" t="str">
        <x:v>APOLO, PELECHUCO, SAN BUENAVENTURA</x:v>
      </x:c>
      <x:c r="G14" s="23" t="n">
        <x:v>4884</x:v>
      </x:c>
      <x:c r="H14" s="23" t="n">
        <x:v>2703</x:v>
      </x:c>
      <x:c r="I14" s="23" t="n">
        <x:v>2181</x:v>
      </x:c>
      <x:c r="J14" s="23" t="n">
        <x:v>1964</x:v>
      </x:c>
      <x:c r="K14" s="23" t="n">
        <x:v>1544</x:v>
      </x:c>
      <x:c r="L14" s="23" t="n">
        <x:v>933</x:v>
      </x:c>
      <x:c r="M14" s="23" t="n">
        <x:v>443</x:v>
      </x:c>
      <x:c r="N14" s="23" t="n">
        <x:v>2919</x:v>
      </x:c>
      <x:c r="O14" s="23" t="n">
        <x:v>271</x:v>
      </x:c>
      <x:c r="P14" s="23" t="n">
        <x:v>916</x:v>
      </x:c>
      <x:c r="Q14" s="23" t="n">
        <x:v>1422</x:v>
      </x:c>
      <x:c r="R14" s="23" t="n">
        <x:v>266</x:v>
      </x:c>
      <x:c r="S14" s="23" t="n">
        <x:v>2544</x:v>
      </x:c>
      <x:c r="T14" s="23" t="n">
        <x:v>325</x:v>
      </x:c>
      <x:c r="U14" s="23" t="n">
        <x:v>1496</x:v>
      </x:c>
      <x:c r="V14" s="23" t="n">
        <x:v>1902</x:v>
      </x:c>
      <x:c r="W14" s="23" t="n">
        <x:v>91</x:v>
      </x:c>
      <x:c r="X14" s="23" t="n">
        <x:v>3447</x:v>
      </x:c>
      <x:c r="Y14" s="23" t="n">
        <x:v>1052</x:v>
      </x:c>
      <x:c r="Z14" s="23" t="n">
        <x:v>1690</x:v>
      </x:c>
      <x:c r="AA14" s="23" t="n">
        <x:v>1440</x:v>
      </x:c>
      <x:c r="AB14" s="23" t="n">
        <x:v>660</x:v>
      </x:c>
      <x:c r="AC14" s="23" t="n">
        <x:v>137</x:v>
      </x:c>
      <x:c r="AD14" s="23" t="n">
        <x:v>535</x:v>
      </x:c>
      <x:c r="AE14" s="23" t="n">
        <x:v>797</x:v>
      </x:c>
      <x:c r="AF14" s="23" t="n">
        <x:v>264</x:v>
      </x:c>
      <x:c r="AG14" s="23" t="n">
        <x:v>43</x:v>
      </x:c>
      <x:c r="AH14" s="23" t="n">
        <x:v>832</x:v>
      </x:c>
      <x:c r="AI14" s="23" t="n">
        <x:v>461</x:v>
      </x:c>
      <x:c r="AJ14" s="23" t="n">
        <x:v>959</x:v>
      </x:c>
      <x:c r="AK14" s="23" t="n">
        <x:v>3</x:v>
      </x:c>
      <x:c r="AL14" s="23" t="n">
        <x:v>842</x:v>
      </x:c>
      <x:c r="AM14" s="23" t="n">
        <x:v>963</x:v>
      </x:c>
      <x:c r="AN14" s="23" t="n">
        <x:v>465</x:v>
      </x:c>
      <x:c r="AO14" s="17" t="str">
        <x:v>Ficha_INE_Madidi.pdf</x:v>
      </x:c>
      <x:c r="AP14" s="17" t="str">
        <x:v>Instituto Nacional de Estadística, Censo de Población y Vivienda 2024</x:v>
      </x:c>
      <x:c r="AQ14" s="20" t="n">
        <x:f>IFERROR(I14/G14,0)</x:f>
        <x:v>0.4465601965601966</x:v>
      </x:c>
      <x:c r="AR14" s="20" t="n">
        <x:f>IFERROR(J14/G14,0)</x:f>
        <x:v>0.4021294021294021</x:v>
      </x:c>
      <x:c r="AS14" s="20" t="n">
        <x:f>IFERROR(M14/G14,0)</x:f>
        <x:v>0.0907043407043407</x:v>
      </x:c>
      <x:c r="AT14" s="20" t="n">
        <x:f>IFERROR(R14/N14,0)</x:f>
        <x:v>0.09112709832134293</x:v>
      </x:c>
      <x:c r="AU14" s="20" t="n">
        <x:f>IFERROR(V14/14,0)</x:f>
        <x:v>135.85714285714286</x:v>
      </x:c>
      <x:c r="AV14" s="20" t="n">
        <x:f>IFERROR(X14/14,0)</x:f>
        <x:v>246.21428571428572</x:v>
      </x:c>
      <x:c r="AW14" s="20" t="n">
        <x:f>IFERROR(AE14/14,0)</x:f>
        <x:v>56.92857142857143</x:v>
      </x:c>
      <x:c r="AX14" s="20" t="n">
        <x:f>IFERROR(AB14/14,0)</x:f>
        <x:v>47.142857142857146</x:v>
      </x:c>
      <x:c r="AY14" s="20" t="n">
        <x:f>IFERROR(AN14/14,0)</x:f>
        <x:v>33.214285714285715</x:v>
      </x:c>
    </x:row>
    <x:row r="15" ht="22" customHeight="1">
      <x:c r="A15" s="17" t="str">
        <x:v>AP-1805</x:v>
      </x:c>
      <x:c r="B15" s="17" t="str">
        <x:v>El Palmar</x:v>
      </x:c>
      <x:c r="C15" s="17" t="str">
        <x:v>Sí</x:v>
      </x:c>
      <x:c r="D15" s="17" t="str">
        <x:v>CHUQUISACA</x:v>
      </x:c>
      <x:c r="E15" s="17" t="str">
        <x:v>ZUDÁÑEZ</x:v>
      </x:c>
      <x:c r="F15" s="17" t="str">
        <x:v>PRESTO</x:v>
      </x:c>
      <x:c r="G15" s="23" t="n">
        <x:v>3705</x:v>
      </x:c>
      <x:c r="H15" s="23" t="n">
        <x:v>1937</x:v>
      </x:c>
      <x:c r="I15" s="23" t="n">
        <x:v>1768</x:v>
      </x:c>
      <x:c r="J15" s="23" t="n">
        <x:v>1525</x:v>
      </x:c>
      <x:c r="K15" s="23" t="n">
        <x:v>1127</x:v>
      </x:c>
      <x:c r="L15" s="23" t="n">
        <x:v>644</x:v>
      </x:c>
      <x:c r="M15" s="23" t="n">
        <x:v>409</x:v>
      </x:c>
      <x:c r="N15" s="23" t="n">
        <x:v>2226</x:v>
      </x:c>
      <x:c r="O15" s="23" t="n">
        <x:v>500</x:v>
      </x:c>
      <x:c r="P15" s="23" t="n">
        <x:v>969</x:v>
      </x:c>
      <x:c r="Q15" s="23" t="n">
        <x:v>619</x:v>
      </x:c>
      <x:c r="R15" s="23" t="n">
        <x:v>130</x:v>
      </x:c>
      <x:c r="S15" s="23" t="n">
        <x:v>2134</x:v>
      </x:c>
      <x:c r="T15" s="23" t="n">
        <x:v>280</x:v>
      </x:c>
      <x:c r="U15" s="23" t="n">
        <x:v>974</x:v>
      </x:c>
      <x:c r="V15" s="23" t="n">
        <x:v>1497</x:v>
      </x:c>
      <x:c r="W15" s="23" t="n">
        <x:v>91</x:v>
      </x:c>
      <x:c r="X15" s="23" t="n">
        <x:v>3156</x:v>
      </x:c>
      <x:c r="Y15" s="23" t="n">
        <x:v>325</x:v>
      </x:c>
      <x:c r="Z15" s="23" t="n">
        <x:v>1242</x:v>
      </x:c>
      <x:c r="AA15" s="23" t="n">
        <x:v>944</x:v>
      </x:c>
      <x:c r="AB15" s="23" t="n">
        <x:v>531</x:v>
      </x:c>
      <x:c r="AC15" s="23" t="n">
        <x:v>164</x:v>
      </x:c>
      <x:c r="AD15" s="23" t="n">
        <x:v>238</x:v>
      </x:c>
      <x:c r="AE15" s="23" t="n">
        <x:v>358</x:v>
      </x:c>
      <x:c r="AF15" s="23" t="n">
        <x:v>186</x:v>
      </x:c>
      <x:c r="AG15" s="23" t="n">
        <x:v>22</x:v>
      </x:c>
      <x:c r="AH15" s="23" t="n">
        <x:v>669</x:v>
      </x:c>
      <x:c r="AI15" s="23" t="n">
        <x:v>147</x:v>
      </x:c>
      <x:c r="AJ15" s="23" t="n">
        <x:v>792</x:v>
      </x:c>
      <x:c r="AK15" s="23" t="n">
        <x:v>3</x:v>
      </x:c>
      <x:c r="AL15" s="23" t="n">
        <x:v>752</x:v>
      </x:c>
      <x:c r="AM15" s="23" t="n">
        <x:v>640</x:v>
      </x:c>
      <x:c r="AN15" s="23" t="n">
        <x:v>490</x:v>
      </x:c>
      <x:c r="AO15" s="17" t="str">
        <x:v>Ficha_INE_El_Palmar.pdf</x:v>
      </x:c>
      <x:c r="AP15" s="17" t="str">
        <x:v>Instituto Nacional de Estadística, Censo de Población y Vivienda 2024</x:v>
      </x:c>
      <x:c r="AQ15" s="20" t="n">
        <x:f>IFERROR(I15/G15,0)</x:f>
        <x:v>0.47719298245614034</x:v>
      </x:c>
      <x:c r="AR15" s="20" t="n">
        <x:f>IFERROR(J15/G15,0)</x:f>
        <x:v>0.4116059379217274</x:v>
      </x:c>
      <x:c r="AS15" s="20" t="n">
        <x:f>IFERROR(M15/G15,0)</x:f>
        <x:v>0.11039136302294197</x:v>
      </x:c>
      <x:c r="AT15" s="20" t="n">
        <x:f>IFERROR(R15/N15,0)</x:f>
        <x:v>0.05840071877807727</x:v>
      </x:c>
      <x:c r="AU15" s="20" t="n">
        <x:f>IFERROR(V15/15,0)</x:f>
        <x:v>99.8</x:v>
      </x:c>
      <x:c r="AV15" s="20" t="n">
        <x:f>IFERROR(X15/15,0)</x:f>
        <x:v>210.4</x:v>
      </x:c>
      <x:c r="AW15" s="20" t="n">
        <x:f>IFERROR(AE15/15,0)</x:f>
        <x:v>23.866666666666667</x:v>
      </x:c>
      <x:c r="AX15" s="20" t="n">
        <x:f>IFERROR(AB15/15,0)</x:f>
        <x:v>35.4</x:v>
      </x:c>
      <x:c r="AY15" s="20" t="n">
        <x:f>IFERROR(AN15/15,0)</x:f>
        <x:v>32.666666666666664</x:v>
      </x:c>
    </x:row>
    <x:row r="16" ht="22" customHeight="1">
      <x:c r="A16" s="17" t="str">
        <x:v>AP-2201</x:v>
      </x:c>
      <x:c r="B16" s="17" t="str">
        <x:v>Iñao</x:v>
      </x:c>
      <x:c r="C16" s="17" t="str">
        <x:v>Sí</x:v>
      </x:c>
      <x:c r="D16" s="17" t="str">
        <x:v>CHUQUISACA</x:v>
      </x:c>
      <x:c r="E16" s="17" t="str">
        <x:v>TOMINA, HERNANDO SILES, BELISARIO BOETO, MÁS 1 PROVINCIAS</x:v>
      </x:c>
      <x:c r="F16" s="17" t="str">
        <x:v>PADILLA, MONTEAGUDO, VILLA SERRANO,</x:v>
      </x:c>
      <x:c r="G16" s="23" t="n">
        <x:v>3248</x:v>
      </x:c>
      <x:c r="H16" s="23" t="n">
        <x:v>1734</x:v>
      </x:c>
      <x:c r="I16" s="23" t="n">
        <x:v>1514</x:v>
      </x:c>
      <x:c r="J16" s="23" t="n">
        <x:v>1260</x:v>
      </x:c>
      <x:c r="K16" s="23" t="n">
        <x:v>909</x:v>
      </x:c>
      <x:c r="L16" s="23" t="n">
        <x:v>698</x:v>
      </x:c>
      <x:c r="M16" s="23" t="n">
        <x:v>381</x:v>
      </x:c>
      <x:c r="N16" s="23" t="n">
        <x:v>2017</x:v>
      </x:c>
      <x:c r="O16" s="23" t="n">
        <x:v>234</x:v>
      </x:c>
      <x:c r="P16" s="23" t="n">
        <x:v>924</x:v>
      </x:c>
      <x:c r="Q16" s="23" t="n">
        <x:v>565</x:v>
      </x:c>
      <x:c r="R16" s="23" t="n">
        <x:v>277</x:v>
      </x:c>
      <x:c r="S16" s="23" t="n">
        <x:v>1770</x:v>
      </x:c>
      <x:c r="T16" s="23" t="n">
        <x:v>196</x:v>
      </x:c>
      <x:c r="U16" s="23" t="n">
        <x:v>1165</x:v>
      </x:c>
      <x:c r="V16" s="23" t="n">
        <x:v>1400</x:v>
      </x:c>
      <x:c r="W16" s="23" t="n">
        <x:v>69</x:v>
      </x:c>
      <x:c r="X16" s="23" t="n">
        <x:v>2836</x:v>
      </x:c>
      <x:c r="Y16" s="23" t="n">
        <x:v>189</x:v>
      </x:c>
      <x:c r="Z16" s="23" t="n">
        <x:v>1189</x:v>
      </x:c>
      <x:c r="AA16" s="23" t="n">
        <x:v>947</x:v>
      </x:c>
      <x:c r="AB16" s="23" t="n">
        <x:v>447</x:v>
      </x:c>
      <x:c r="AC16" s="23" t="n">
        <x:v>219</x:v>
      </x:c>
      <x:c r="AD16" s="23" t="n">
        <x:v>275</x:v>
      </x:c>
      <x:c r="AE16" s="23" t="n">
        <x:v>518</x:v>
      </x:c>
      <x:c r="AF16" s="23" t="n">
        <x:v>213</x:v>
      </x:c>
      <x:c r="AG16" s="23" t="n">
        <x:v>46</x:v>
      </x:c>
      <x:c r="AH16" s="23" t="n">
        <x:v>560</x:v>
      </x:c>
      <x:c r="AI16" s="23" t="n">
        <x:v>191</x:v>
      </x:c>
      <x:c r="AJ16" s="23" t="n">
        <x:v>745</x:v>
      </x:c>
      <x:c r="AK16" s="23" t="n">
        <x:v>1</x:v>
      </x:c>
      <x:c r="AL16" s="23" t="n">
        <x:v>660</x:v>
      </x:c>
      <x:c r="AM16" s="23" t="n">
        <x:v>700</x:v>
      </x:c>
      <x:c r="AN16" s="23" t="n">
        <x:v>391</x:v>
      </x:c>
      <x:c r="AO16" s="17" t="str">
        <x:v>Ficha_INE_Inao.pdf</x:v>
      </x:c>
      <x:c r="AP16" s="17" t="str">
        <x:v>Instituto Nacional de Estadística, Censo de Población y Vivienda 2024</x:v>
      </x:c>
      <x:c r="AQ16" s="20" t="n">
        <x:f>IFERROR(I16/G16,0)</x:f>
        <x:v>0.4661330049261084</x:v>
      </x:c>
      <x:c r="AR16" s="20" t="n">
        <x:f>IFERROR(J16/G16,0)</x:f>
        <x:v>0.3879310344827586</x:v>
      </x:c>
      <x:c r="AS16" s="20" t="n">
        <x:f>IFERROR(M16/G16,0)</x:f>
        <x:v>0.11730295566502463</x:v>
      </x:c>
      <x:c r="AT16" s="20" t="n">
        <x:f>IFERROR(R16/N16,0)</x:f>
        <x:v>0.13733267228557264</x:v>
      </x:c>
      <x:c r="AU16" s="20" t="n">
        <x:f>IFERROR(V16/16,0)</x:f>
        <x:v>87.5</x:v>
      </x:c>
      <x:c r="AV16" s="20" t="n">
        <x:f>IFERROR(X16/16,0)</x:f>
        <x:v>177.25</x:v>
      </x:c>
      <x:c r="AW16" s="20" t="n">
        <x:f>IFERROR(AE16/16,0)</x:f>
        <x:v>32.375</x:v>
      </x:c>
      <x:c r="AX16" s="20" t="n">
        <x:f>IFERROR(AB16/16,0)</x:f>
        <x:v>27.9375</x:v>
      </x:c>
      <x:c r="AY16" s="20" t="n">
        <x:f>IFERROR(AN16/16,0)</x:f>
        <x:v>24.4375</x:v>
      </x:c>
    </x:row>
    <x:row r="17" ht="22" customHeight="1">
      <x:c r="A17" s="17" t="str">
        <x:v>AP-1405</x:v>
      </x:c>
      <x:c r="B17" s="17" t="str">
        <x:v>Pilón Lajas</x:v>
      </x:c>
      <x:c r="C17" s="17" t="str">
        <x:v>Sí</x:v>
      </x:c>
      <x:c r="D17" s="17" t="str">
        <x:v>LA PAZ, BENI</x:v>
      </x:c>
      <x:c r="E17" s="17" t="str">
        <x:v>FRANZ TAMAYO, SUR YUNGAS, GENERAL JOSÉ BALLIVIÁN</x:v>
      </x:c>
      <x:c r="F17" s="17" t="str">
        <x:v>APOLO, PALOS BLANCOS, SAN BORJA, MÁS 1</x:v>
      </x:c>
      <x:c r="G17" s="23" t="n">
        <x:v>3169</x:v>
      </x:c>
      <x:c r="H17" s="23" t="n">
        <x:v>1675</x:v>
      </x:c>
      <x:c r="I17" s="23" t="n">
        <x:v>1494</x:v>
      </x:c>
      <x:c r="J17" s="23" t="n">
        <x:v>1614</x:v>
      </x:c>
      <x:c r="K17" s="23" t="n">
        <x:v>883</x:v>
      </x:c>
      <x:c r="L17" s="23" t="n">
        <x:v>468</x:v>
      </x:c>
      <x:c r="M17" s="23" t="n">
        <x:v>204</x:v>
      </x:c>
      <x:c r="N17" s="23" t="n">
        <x:v>1594</x:v>
      </x:c>
      <x:c r="O17" s="23" t="n">
        <x:v>234</x:v>
      </x:c>
      <x:c r="P17" s="23" t="n">
        <x:v>537</x:v>
      </x:c>
      <x:c r="Q17" s="23" t="n">
        <x:v>675</x:v>
      </x:c>
      <x:c r="R17" s="23" t="n">
        <x:v>143</x:v>
      </x:c>
      <x:c r="S17" s="23" t="n">
        <x:v>1626</x:v>
      </x:c>
      <x:c r="T17" s="23" t="n">
        <x:v>182</x:v>
      </x:c>
      <x:c r="U17" s="23" t="n">
        <x:v>1046</x:v>
      </x:c>
      <x:c r="V17" s="23" t="n">
        <x:v>1354</x:v>
      </x:c>
      <x:c r="W17" s="23" t="n">
        <x:v>60</x:v>
      </x:c>
      <x:c r="X17" s="23" t="n">
        <x:v>2648</x:v>
      </x:c>
      <x:c r="Y17" s="23" t="n">
        <x:v>332</x:v>
      </x:c>
      <x:c r="Z17" s="23" t="n">
        <x:v>1246</x:v>
      </x:c>
      <x:c r="AA17" s="23" t="n">
        <x:v>1069</x:v>
      </x:c>
      <x:c r="AB17" s="23" t="n">
        <x:v>385</x:v>
      </x:c>
      <x:c r="AC17" s="23" t="n">
        <x:v>15</x:v>
      </x:c>
      <x:c r="AD17" s="23" t="n">
        <x:v>651</x:v>
      </x:c>
      <x:c r="AE17" s="23" t="n">
        <x:v>315</x:v>
      </x:c>
      <x:c r="AF17" s="23" t="n">
        <x:v>464</x:v>
      </x:c>
      <x:c r="AG17" s="23" t="n">
        <x:v>35</x:v>
      </x:c>
      <x:c r="AH17" s="23" t="n">
        <x:v>502</x:v>
      </x:c>
      <x:c r="AI17" s="23" t="n">
        <x:v>231</x:v>
      </x:c>
      <x:c r="AJ17" s="23" t="n">
        <x:v>826</x:v>
      </x:c>
      <x:c r="AK17" s="23" t="n">
        <x:v>6</x:v>
      </x:c>
      <x:c r="AL17" s="23" t="n">
        <x:v>829</x:v>
      </x:c>
      <x:c r="AM17" s="23" t="n">
        <x:v>688</x:v>
      </x:c>
      <x:c r="AN17" s="23" t="n">
        <x:v>388</x:v>
      </x:c>
      <x:c r="AO17" s="17" t="str">
        <x:v>Ficha_INE_Pilon_Lajas.pdf</x:v>
      </x:c>
      <x:c r="AP17" s="17" t="str">
        <x:v>Instituto Nacional de Estadística, Censo de Población y Vivienda 2024</x:v>
      </x:c>
      <x:c r="AQ17" s="20" t="n">
        <x:f>IFERROR(I17/G17,0)</x:f>
        <x:v>0.4714420952982013</x:v>
      </x:c>
      <x:c r="AR17" s="20" t="n">
        <x:f>IFERROR(J17/G17,0)</x:f>
        <x:v>0.5093089302619123</x:v>
      </x:c>
      <x:c r="AS17" s="20" t="n">
        <x:f>IFERROR(M17/G17,0)</x:f>
        <x:v>0.06437361943830862</x:v>
      </x:c>
      <x:c r="AT17" s="20" t="n">
        <x:f>IFERROR(R17/N17,0)</x:f>
        <x:v>0.08971141781681305</x:v>
      </x:c>
      <x:c r="AU17" s="20" t="n">
        <x:f>IFERROR(V17/17,0)</x:f>
        <x:v>79.6470588235294</x:v>
      </x:c>
      <x:c r="AV17" s="20" t="n">
        <x:f>IFERROR(X17/17,0)</x:f>
        <x:v>155.76470588235293</x:v>
      </x:c>
      <x:c r="AW17" s="20" t="n">
        <x:f>IFERROR(AE17/17,0)</x:f>
        <x:v>18.529411764705884</x:v>
      </x:c>
      <x:c r="AX17" s="20" t="n">
        <x:f>IFERROR(AB17/17,0)</x:f>
        <x:v>22.647058823529413</x:v>
      </x:c>
      <x:c r="AY17" s="20" t="n">
        <x:f>IFERROR(AN17/17,0)</x:f>
        <x:v>22.823529411764707</x:v>
      </x:c>
    </x:row>
    <x:row r="18" ht="22" customHeight="1">
      <x:c r="A18" s="17" t="str">
        <x:v>AP-1204</x:v>
      </x:c>
      <x:c r="B18" s="17" t="str">
        <x:v>Cordillera de Sama</x:v>
      </x:c>
      <x:c r="C18" s="17" t="str">
        <x:v>Sí</x:v>
      </x:c>
      <x:c r="D18" s="17" t="str">
        <x:v>TARIJA</x:v>
      </x:c>
      <x:c r="E18" s="17" t="str">
        <x:v>CERCADO, AVILEZ, MÉNDEZ</x:v>
      </x:c>
      <x:c r="F18" s="17" t="str">
        <x:v>TARIJA, YUNCHARÁ, SAN LORENZO, MÁS 1</x:v>
      </x:c>
      <x:c r="G18" s="23" t="n">
        <x:v>3132</x:v>
      </x:c>
      <x:c r="H18" s="23" t="n">
        <x:v>1532</x:v>
      </x:c>
      <x:c r="I18" s="23" t="n">
        <x:v>1600</x:v>
      </x:c>
      <x:c r="J18" s="23" t="n">
        <x:v>1090</x:v>
      </x:c>
      <x:c r="K18" s="23" t="n">
        <x:v>837</x:v>
      </x:c>
      <x:c r="L18" s="23" t="n">
        <x:v>685</x:v>
      </x:c>
      <x:c r="M18" s="23" t="n">
        <x:v>520</x:v>
      </x:c>
      <x:c r="N18" s="23" t="n">
        <x:v>2065</x:v>
      </x:c>
      <x:c r="O18" s="23" t="n">
        <x:v>380</x:v>
      </x:c>
      <x:c r="P18" s="23" t="n">
        <x:v>1068</x:v>
      </x:c>
      <x:c r="Q18" s="23" t="n">
        <x:v>420</x:v>
      </x:c>
      <x:c r="R18" s="23" t="n">
        <x:v>180</x:v>
      </x:c>
      <x:c r="S18" s="23" t="n">
        <x:v>1964</x:v>
      </x:c>
      <x:c r="T18" s="23" t="n">
        <x:v>181</x:v>
      </x:c>
      <x:c r="U18" s="23" t="n">
        <x:v>1051</x:v>
      </x:c>
      <x:c r="V18" s="23" t="n">
        <x:v>1697</x:v>
      </x:c>
      <x:c r="W18" s="23" t="n">
        <x:v>33</x:v>
      </x:c>
      <x:c r="X18" s="23" t="n">
        <x:v>2648</x:v>
      </x:c>
      <x:c r="Y18" s="23" t="n">
        <x:v>290</x:v>
      </x:c>
      <x:c r="Z18" s="23" t="n">
        <x:v>1434</x:v>
      </x:c>
      <x:c r="AA18" s="23" t="n">
        <x:v>992</x:v>
      </x:c>
      <x:c r="AB18" s="23" t="n">
        <x:v>843</x:v>
      </x:c>
      <x:c r="AC18" s="23" t="n">
        <x:v>32</x:v>
      </x:c>
      <x:c r="AD18" s="23" t="n">
        <x:v>113</x:v>
      </x:c>
      <x:c r="AE18" s="23" t="n">
        <x:v>871</x:v>
      </x:c>
      <x:c r="AF18" s="23" t="n">
        <x:v>57</x:v>
      </x:c>
      <x:c r="AG18" s="23" t="n">
        <x:v>76</x:v>
      </x:c>
      <x:c r="AH18" s="23" t="n">
        <x:v>168</x:v>
      </x:c>
      <x:c r="AI18" s="23" t="n">
        <x:v>513</x:v>
      </x:c>
      <x:c r="AJ18" s="23" t="n">
        <x:v>286</x:v>
      </x:c>
      <x:c r="AK18" s="23" t="n">
        <x:v>29</x:v>
      </x:c>
      <x:c r="AL18" s="23" t="n">
        <x:v>818</x:v>
      </x:c>
      <x:c r="AM18" s="23" t="n">
        <x:v>820</x:v>
      </x:c>
      <x:c r="AN18" s="23" t="n">
        <x:v>606</x:v>
      </x:c>
      <x:c r="AO18" s="17" t="str">
        <x:v>Ficha_INE_Cordillera_de_Sama.pdf</x:v>
      </x:c>
      <x:c r="AP18" s="17" t="str">
        <x:v>Instituto Nacional de Estadística, Censo de Población y Vivienda 2024</x:v>
      </x:c>
      <x:c r="AQ18" s="20" t="n">
        <x:f>IFERROR(I18/G18,0)</x:f>
        <x:v>0.5108556832694764</x:v>
      </x:c>
      <x:c r="AR18" s="20" t="n">
        <x:f>IFERROR(J18/G18,0)</x:f>
        <x:v>0.34802043422733075</x:v>
      </x:c>
      <x:c r="AS18" s="20" t="n">
        <x:f>IFERROR(M18/G18,0)</x:f>
        <x:v>0.16602809706257982</x:v>
      </x:c>
      <x:c r="AT18" s="20" t="n">
        <x:f>IFERROR(R18/N18,0)</x:f>
        <x:v>0.08716707021791767</x:v>
      </x:c>
      <x:c r="AU18" s="20" t="n">
        <x:f>IFERROR(V18/18,0)</x:f>
        <x:v>94.27777777777777</x:v>
      </x:c>
      <x:c r="AV18" s="20" t="n">
        <x:f>IFERROR(X18/18,0)</x:f>
        <x:v>147.11111111111111</x:v>
      </x:c>
      <x:c r="AW18" s="20" t="n">
        <x:f>IFERROR(AE18/18,0)</x:f>
        <x:v>48.388888888888886</x:v>
      </x:c>
      <x:c r="AX18" s="20" t="n">
        <x:f>IFERROR(AB18/18,0)</x:f>
        <x:v>46.833333333333336</x:v>
      </x:c>
      <x:c r="AY18" s="20" t="n">
        <x:f>IFERROR(AN18/18,0)</x:f>
        <x:v>33.666666666666664</x:v>
      </x:c>
    </x:row>
    <x:row r="19" ht="22" customHeight="1">
      <x:c r="A19" s="17" t="str">
        <x:v>AP-1001</x:v>
      </x:c>
      <x:c r="B19" s="17" t="str">
        <x:v>Toro Toro</x:v>
      </x:c>
      <x:c r="C19" s="17" t="str">
        <x:v>Sí</x:v>
      </x:c>
      <x:c r="D19" s="17" t="str">
        <x:v>POTOSÍ</x:v>
      </x:c>
      <x:c r="E19" s="17" t="str">
        <x:v>CHARCAS</x:v>
      </x:c>
      <x:c r="F19" s="17" t="str">
        <x:v>TORO TORO</x:v>
      </x:c>
      <x:c r="G19" s="23" t="n">
        <x:v>2679</x:v>
      </x:c>
      <x:c r="H19" s="23" t="n">
        <x:v>1337</x:v>
      </x:c>
      <x:c r="I19" s="23" t="n">
        <x:v>1342</x:v>
      </x:c>
      <x:c r="J19" s="23" t="n">
        <x:v>1041</x:v>
      </x:c>
      <x:c r="K19" s="23" t="n">
        <x:v>740</x:v>
      </x:c>
      <x:c r="L19" s="23" t="n">
        <x:v>494</x:v>
      </x:c>
      <x:c r="M19" s="23" t="n">
        <x:v>404</x:v>
      </x:c>
      <x:c r="N19" s="23" t="n">
        <x:v>1636</x:v>
      </x:c>
      <x:c r="O19" s="23" t="n">
        <x:v>250</x:v>
      </x:c>
      <x:c r="P19" s="23" t="n">
        <x:v>528</x:v>
      </x:c>
      <x:c r="Q19" s="23" t="n">
        <x:v>442</x:v>
      </x:c>
      <x:c r="R19" s="23" t="n">
        <x:v>401</x:v>
      </x:c>
      <x:c r="S19" s="23" t="n">
        <x:v>1448</x:v>
      </x:c>
      <x:c r="T19" s="23" t="n">
        <x:v>361</x:v>
      </x:c>
      <x:c r="U19" s="23" t="n">
        <x:v>753</x:v>
      </x:c>
      <x:c r="V19" s="23" t="n">
        <x:v>610</x:v>
      </x:c>
      <x:c r="W19" s="23" t="n">
        <x:v>145</x:v>
      </x:c>
      <x:c r="X19" s="23" t="n">
        <x:v>2144</x:v>
      </x:c>
      <x:c r="Y19" s="23" t="n">
        <x:v>193</x:v>
      </x:c>
      <x:c r="Z19" s="23" t="n">
        <x:v>1620</x:v>
      </x:c>
      <x:c r="AA19" s="23" t="n">
        <x:v>1155</x:v>
      </x:c>
      <x:c r="AB19" s="23" t="n">
        <x:v>847</x:v>
      </x:c>
      <x:c r="AC19" s="23" t="n">
        <x:v>8</x:v>
      </x:c>
      <x:c r="AD19" s="23" t="n">
        <x:v>297</x:v>
      </x:c>
      <x:c r="AE19" s="23" t="n">
        <x:v>855</x:v>
      </x:c>
      <x:c r="AF19" s="23" t="n">
        <x:v>75</x:v>
      </x:c>
      <x:c r="AG19" s="23" t="n">
        <x:v>333</x:v>
      </x:c>
      <x:c r="AH19" s="23" t="n">
        <x:v>635</x:v>
      </x:c>
      <x:c r="AI19" s="23" t="n">
        <x:v>718</x:v>
      </x:c>
      <x:c r="AJ19" s="23" t="n">
        <x:v>397</x:v>
      </x:c>
      <x:c r="AK19" s="23" t="n">
        <x:v>435</x:v>
      </x:c>
      <x:c r="AL19" s="23" t="n">
        <x:v>566</x:v>
      </x:c>
      <x:c r="AM19" s="23" t="n">
        <x:v>913</x:v>
      </x:c>
      <x:c r="AN19" s="23" t="n">
        <x:v>669</x:v>
      </x:c>
      <x:c r="AO19" s="17" t="str">
        <x:v>Ficha_INE_Toro_Toro.pdf</x:v>
      </x:c>
      <x:c r="AP19" s="17" t="str">
        <x:v>Instituto Nacional de Estadística, Censo de Población y Vivienda 2024</x:v>
      </x:c>
      <x:c r="AQ19" s="20" t="n">
        <x:f>IFERROR(I19/G19,0)</x:f>
        <x:v>0.5009331840238895</x:v>
      </x:c>
      <x:c r="AR19" s="20" t="n">
        <x:f>IFERROR(J19/G19,0)</x:f>
        <x:v>0.3885778275475924</x:v>
      </x:c>
      <x:c r="AS19" s="20" t="n">
        <x:f>IFERROR(M19/G19,0)</x:f>
        <x:v>0.150802538260545</x:v>
      </x:c>
      <x:c r="AT19" s="20" t="n">
        <x:f>IFERROR(R19/N19,0)</x:f>
        <x:v>0.24511002444987776</x:v>
      </x:c>
      <x:c r="AU19" s="20" t="n">
        <x:f>IFERROR(V19/19,0)</x:f>
        <x:v>32.10526315789474</x:v>
      </x:c>
      <x:c r="AV19" s="20" t="n">
        <x:f>IFERROR(X19/19,0)</x:f>
        <x:v>112.84210526315789</x:v>
      </x:c>
      <x:c r="AW19" s="20" t="n">
        <x:f>IFERROR(AE19/19,0)</x:f>
        <x:v>45</x:v>
      </x:c>
      <x:c r="AX19" s="20" t="n">
        <x:f>IFERROR(AB19/19,0)</x:f>
        <x:v>44.578947368421055</x:v>
      </x:c>
      <x:c r="AY19" s="20" t="n">
        <x:f>IFERROR(AN19/19,0)</x:f>
        <x:v>35.21052631578947</x:v>
      </x:c>
    </x:row>
    <x:row r="20" ht="22" customHeight="1">
      <x:c r="A20" s="17" t="str">
        <x:v>AP-1905</x:v>
      </x:c>
      <x:c r="B20" s="17" t="str">
        <x:v>San Matias</x:v>
      </x:c>
      <x:c r="C20" s="17" t="str">
        <x:v>Sí</x:v>
      </x:c>
      <x:c r="D20" s="17" t="str">
        <x:v>SANTA CRUZ</x:v>
      </x:c>
      <x:c r="E20" s="17" t="str">
        <x:v>ÁNGEL SANDOVAL, GERMÁN BUSCH, VELASCO</x:v>
      </x:c>
      <x:c r="F20" s="17" t="str">
        <x:v>SAN MATÍAS, PUERTO SUÁREZ, PUERTO</x:v>
      </x:c>
      <x:c r="G20" s="23" t="n">
        <x:v>2609</x:v>
      </x:c>
      <x:c r="H20" s="23" t="n">
        <x:v>1444</x:v>
      </x:c>
      <x:c r="I20" s="23" t="n">
        <x:v>1165</x:v>
      </x:c>
      <x:c r="J20" s="23" t="n">
        <x:v>1194</x:v>
      </x:c>
      <x:c r="K20" s="23" t="n">
        <x:v>687</x:v>
      </x:c>
      <x:c r="L20" s="23" t="n">
        <x:v>483</x:v>
      </x:c>
      <x:c r="M20" s="23" t="n">
        <x:v>245</x:v>
      </x:c>
      <x:c r="N20" s="23" t="n">
        <x:v>1431</x:v>
      </x:c>
      <x:c r="O20" s="23" t="n">
        <x:v>40</x:v>
      </x:c>
      <x:c r="P20" s="23" t="n">
        <x:v>488</x:v>
      </x:c>
      <x:c r="Q20" s="23" t="n">
        <x:v>719</x:v>
      </x:c>
      <x:c r="R20" s="23" t="n">
        <x:v>154</x:v>
      </x:c>
      <x:c r="S20" s="23" t="n">
        <x:v>1096</x:v>
      </x:c>
      <x:c r="T20" s="23" t="n">
        <x:v>366</x:v>
      </x:c>
      <x:c r="U20" s="23" t="n">
        <x:v>419</x:v>
      </x:c>
      <x:c r="V20" s="23" t="n">
        <x:v>785</x:v>
      </x:c>
      <x:c r="W20" s="23" t="n">
        <x:v>49</x:v>
      </x:c>
      <x:c r="X20" s="23" t="n">
        <x:v>1656</x:v>
      </x:c>
      <x:c r="Y20" s="23" t="n">
        <x:v>731</x:v>
      </x:c>
      <x:c r="Z20" s="23" t="n">
        <x:v>794</x:v>
      </x:c>
      <x:c r="AA20" s="23" t="n">
        <x:v>637</x:v>
      </x:c>
      <x:c r="AB20" s="23" t="n">
        <x:v>54</x:v>
      </x:c>
      <x:c r="AC20" s="23" t="n">
        <x:v>352</x:v>
      </x:c>
      <x:c r="AD20" s="23" t="n">
        <x:v>171</x:v>
      </x:c>
      <x:c r="AE20" s="23" t="n">
        <x:v>235</x:v>
      </x:c>
      <x:c r="AF20" s="23" t="n">
        <x:v>59</x:v>
      </x:c>
      <x:c r="AG20" s="23" t="n">
        <x:v>26</x:v>
      </x:c>
      <x:c r="AH20" s="23" t="n">
        <x:v>54</x:v>
      </x:c>
      <x:c r="AI20" s="23" t="n">
        <x:v>123</x:v>
      </x:c>
      <x:c r="AJ20" s="23" t="n">
        <x:v>500</x:v>
      </x:c>
      <x:c r="AK20" s="23" t="n">
        <x:v>0</x:v>
      </x:c>
      <x:c r="AL20" s="23" t="n">
        <x:v>554</x:v>
      </x:c>
      <x:c r="AM20" s="23" t="n">
        <x:v>443</x:v>
      </x:c>
      <x:c r="AN20" s="23" t="n">
        <x:v>232</x:v>
      </x:c>
      <x:c r="AO20" s="17" t="str">
        <x:v>Ficha_INE_San_Matias.pdf</x:v>
      </x:c>
      <x:c r="AP20" s="17" t="str">
        <x:v>Instituto Nacional de Estadística, Censo de Población y Vivienda 2024</x:v>
      </x:c>
      <x:c r="AQ20" s="20" t="n">
        <x:f>IFERROR(I20/G20,0)</x:f>
        <x:v>0.4465312380222307</x:v>
      </x:c>
      <x:c r="AR20" s="20" t="n">
        <x:f>IFERROR(J20/G20,0)</x:f>
        <x:v>0.4576466078957455</x:v>
      </x:c>
      <x:c r="AS20" s="20" t="n">
        <x:f>IFERROR(M20/G20,0)</x:f>
        <x:v>0.0939057110003833</x:v>
      </x:c>
      <x:c r="AT20" s="20" t="n">
        <x:f>IFERROR(R20/N20,0)</x:f>
        <x:v>0.10761705101327743</x:v>
      </x:c>
      <x:c r="AU20" s="20" t="n">
        <x:f>IFERROR(V20/20,0)</x:f>
        <x:v>39.25</x:v>
      </x:c>
      <x:c r="AV20" s="20" t="n">
        <x:f>IFERROR(X20/20,0)</x:f>
        <x:v>82.8</x:v>
      </x:c>
      <x:c r="AW20" s="20" t="n">
        <x:f>IFERROR(AE20/20,0)</x:f>
        <x:v>11.75</x:v>
      </x:c>
      <x:c r="AX20" s="20" t="n">
        <x:f>IFERROR(AB20/20,0)</x:f>
        <x:v>2.7</x:v>
      </x:c>
      <x:c r="AY20" s="20" t="n">
        <x:f>IFERROR(AN20/20,0)</x:f>
        <x:v>11.6</x:v>
      </x:c>
    </x:row>
    <x:row r="21" ht="22" customHeight="1">
      <x:c r="A21" s="17" t="str">
        <x:v>AP-1104</x:v>
      </x:c>
      <x:c r="B21" s="17" t="str">
        <x:v>Tariquía</x:v>
      </x:c>
      <x:c r="C21" s="17" t="str">
        <x:v>Sí</x:v>
      </x:c>
      <x:c r="D21" s="17" t="str">
        <x:v>TARIJA</x:v>
      </x:c>
      <x:c r="E21" s="17" t="str">
        <x:v>ARCE, GRAN CHACO, AVILEZ, MÁS 1 PROVINCIAS</x:v>
      </x:c>
      <x:c r="F21" s="17" t="str">
        <x:v>PADCAYA, CARAPARÍ, URIONDO, MÁS 1</x:v>
      </x:c>
      <x:c r="G21" s="23" t="n">
        <x:v>2533</x:v>
      </x:c>
      <x:c r="H21" s="23" t="n">
        <x:v>1329</x:v>
      </x:c>
      <x:c r="I21" s="23" t="n">
        <x:v>1204</x:v>
      </x:c>
      <x:c r="J21" s="23" t="n">
        <x:v>769</x:v>
      </x:c>
      <x:c r="K21" s="23" t="n">
        <x:v>709</x:v>
      </x:c>
      <x:c r="L21" s="23" t="n">
        <x:v>602</x:v>
      </x:c>
      <x:c r="M21" s="23" t="n">
        <x:v>453</x:v>
      </x:c>
      <x:c r="N21" s="23" t="n">
        <x:v>1776</x:v>
      </x:c>
      <x:c r="O21" s="23" t="n">
        <x:v>163</x:v>
      </x:c>
      <x:c r="P21" s="23" t="n">
        <x:v>872</x:v>
      </x:c>
      <x:c r="Q21" s="23" t="n">
        <x:v>504</x:v>
      </x:c>
      <x:c r="R21" s="23" t="n">
        <x:v>224</x:v>
      </x:c>
      <x:c r="S21" s="23" t="n">
        <x:v>1476</x:v>
      </x:c>
      <x:c r="T21" s="23" t="n">
        <x:v>140</x:v>
      </x:c>
      <x:c r="U21" s="23" t="n">
        <x:v>718</x:v>
      </x:c>
      <x:c r="V21" s="23" t="n">
        <x:v>1244</x:v>
      </x:c>
      <x:c r="W21" s="23" t="n">
        <x:v>34</x:v>
      </x:c>
      <x:c r="X21" s="23" t="n">
        <x:v>2214</x:v>
      </x:c>
      <x:c r="Y21" s="23" t="n">
        <x:v>144</x:v>
      </x:c>
      <x:c r="Z21" s="23" t="n">
        <x:v>1096</x:v>
      </x:c>
      <x:c r="AA21" s="23" t="n">
        <x:v>815</x:v>
      </x:c>
      <x:c r="AB21" s="23" t="n">
        <x:v>580</x:v>
      </x:c>
      <x:c r="AC21" s="23" t="n">
        <x:v>108</x:v>
      </x:c>
      <x:c r="AD21" s="23" t="n">
        <x:v>122</x:v>
      </x:c>
      <x:c r="AE21" s="23" t="n">
        <x:v>571</x:v>
      </x:c>
      <x:c r="AF21" s="23" t="n">
        <x:v>158</x:v>
      </x:c>
      <x:c r="AG21" s="23" t="n">
        <x:v>26</x:v>
      </x:c>
      <x:c r="AH21" s="23" t="n">
        <x:v>361</x:v>
      </x:c>
      <x:c r="AI21" s="23" t="n">
        <x:v>160</x:v>
      </x:c>
      <x:c r="AJ21" s="23" t="n">
        <x:v>648</x:v>
      </x:c>
      <x:c r="AK21" s="23" t="n">
        <x:v>5</x:v>
      </x:c>
      <x:c r="AL21" s="23" t="n">
        <x:v>641</x:v>
      </x:c>
      <x:c r="AM21" s="23" t="n">
        <x:v>690</x:v>
      </x:c>
      <x:c r="AN21" s="23" t="n">
        <x:v>538</x:v>
      </x:c>
      <x:c r="AO21" s="17" t="str">
        <x:v>Ficha_INE_Tariquia.pdf</x:v>
      </x:c>
      <x:c r="AP21" s="17" t="str">
        <x:v>Instituto Nacional de Estadística, Censo de Población y Vivienda 2024</x:v>
      </x:c>
      <x:c r="AQ21" s="20" t="n">
        <x:f>IFERROR(I21/G21,0)</x:f>
        <x:v>0.4753257007500987</x:v>
      </x:c>
      <x:c r="AR21" s="20" t="n">
        <x:f>IFERROR(J21/G21,0)</x:f>
        <x:v>0.30359257797078565</x:v>
      </x:c>
      <x:c r="AS21" s="20" t="n">
        <x:f>IFERROR(M21/G21,0)</x:f>
        <x:v>0.17883932096328464</x:v>
      </x:c>
      <x:c r="AT21" s="20" t="n">
        <x:f>IFERROR(R21/N21,0)</x:f>
        <x:v>0.12612612612612611</x:v>
      </x:c>
      <x:c r="AU21" s="20" t="n">
        <x:f>IFERROR(V21/21,0)</x:f>
        <x:v>59.23809523809524</x:v>
      </x:c>
      <x:c r="AV21" s="20" t="n">
        <x:f>IFERROR(X21/21,0)</x:f>
        <x:v>105.42857142857143</x:v>
      </x:c>
      <x:c r="AW21" s="20" t="n">
        <x:f>IFERROR(AE21/21,0)</x:f>
        <x:v>27.19047619047619</x:v>
      </x:c>
      <x:c r="AX21" s="20" t="n">
        <x:f>IFERROR(AB21/21,0)</x:f>
        <x:v>27.61904761904762</x:v>
      </x:c>
      <x:c r="AY21" s="20" t="n">
        <x:f>IFERROR(AN21/21,0)</x:f>
        <x:v>25.61904761904762</x:v>
      </x:c>
    </x:row>
    <x:row r="22" ht="22" customHeight="1">
      <x:c r="A22" s="17" t="str">
        <x:v>AP-0604</x:v>
      </x:c>
      <x:c r="B22" s="17" t="str">
        <x:v>Manuripi</x:v>
      </x:c>
      <x:c r="C22" s="17" t="str">
        <x:v>Sí</x:v>
      </x:c>
      <x:c r="D22" s="17" t="str">
        <x:v>PANDO</x:v>
      </x:c>
      <x:c r="E22" s="17" t="str">
        <x:v>MANURIPI</x:v>
      </x:c>
      <x:c r="F22" s="17" t="str">
        <x:v>PUERTO RICO, FILADELFIA</x:v>
      </x:c>
      <x:c r="G22" s="23" t="n">
        <x:v>1793</x:v>
      </x:c>
      <x:c r="H22" s="23" t="n">
        <x:v>1034</x:v>
      </x:c>
      <x:c r="I22" s="23" t="n">
        <x:v>759</x:v>
      </x:c>
      <x:c r="J22" s="23" t="n">
        <x:v>698</x:v>
      </x:c>
      <x:c r="K22" s="23" t="n">
        <x:v>673</x:v>
      </x:c>
      <x:c r="L22" s="23" t="n">
        <x:v>323</x:v>
      </x:c>
      <x:c r="M22" s="23" t="n">
        <x:v>99</x:v>
      </x:c>
      <x:c r="N22" s="23" t="n">
        <x:v>1096</x:v>
      </x:c>
      <x:c r="O22" s="23" t="n">
        <x:v>30</x:v>
      </x:c>
      <x:c r="P22" s="23" t="n">
        <x:v>266</x:v>
      </x:c>
      <x:c r="Q22" s="23" t="n">
        <x:v>707</x:v>
      </x:c>
      <x:c r="R22" s="23" t="n">
        <x:v>93</x:v>
      </x:c>
      <x:c r="S22" s="23" t="n">
        <x:v>887</x:v>
      </x:c>
      <x:c r="T22" s="23" t="n">
        <x:v>253</x:v>
      </x:c>
      <x:c r="U22" s="23" t="n">
        <x:v>464</x:v>
      </x:c>
      <x:c r="V22" s="23" t="n">
        <x:v>534</x:v>
      </x:c>
      <x:c r="W22" s="23" t="n">
        <x:v>50</x:v>
      </x:c>
      <x:c r="X22" s="23" t="n">
        <x:v>1449</x:v>
      </x:c>
      <x:c r="Y22" s="23" t="n">
        <x:v>169</x:v>
      </x:c>
      <x:c r="Z22" s="23" t="n">
        <x:v>634</x:v>
      </x:c>
      <x:c r="AA22" s="23" t="n">
        <x:v>572</x:v>
      </x:c>
      <x:c r="AB22" s="23" t="n">
        <x:v>238</x:v>
      </x:c>
      <x:c r="AC22" s="23" t="n">
        <x:v>41</x:v>
      </x:c>
      <x:c r="AD22" s="23" t="n">
        <x:v>125</x:v>
      </x:c>
      <x:c r="AE22" s="23" t="n">
        <x:v>98</x:v>
      </x:c>
      <x:c r="AF22" s="23" t="n">
        <x:v>108</x:v>
      </x:c>
      <x:c r="AG22" s="23" t="n">
        <x:v>12</x:v>
      </x:c>
      <x:c r="AH22" s="23" t="n">
        <x:v>29</x:v>
      </x:c>
      <x:c r="AI22" s="23" t="n">
        <x:v>371</x:v>
      </x:c>
      <x:c r="AJ22" s="23" t="n">
        <x:v>190</x:v>
      </x:c>
      <x:c r="AK22" s="23" t="n">
        <x:v>3</x:v>
      </x:c>
      <x:c r="AL22" s="23" t="n">
        <x:v>248</x:v>
      </x:c>
      <x:c r="AM22" s="23" t="n">
        <x:v>431</x:v>
      </x:c>
      <x:c r="AN22" s="23" t="n">
        <x:v>302</x:v>
      </x:c>
      <x:c r="AO22" s="17" t="str">
        <x:v>Ficha_INE_Manuripi.pdf</x:v>
      </x:c>
      <x:c r="AP22" s="17" t="str">
        <x:v>Instituto Nacional de Estadística, Censo de Población y Vivienda 2024</x:v>
      </x:c>
      <x:c r="AQ22" s="20" t="n">
        <x:f>IFERROR(I22/G22,0)</x:f>
        <x:v>0.4233128834355828</x:v>
      </x:c>
      <x:c r="AR22" s="20" t="n">
        <x:f>IFERROR(J22/G22,0)</x:f>
        <x:v>0.3892916899051868</x:v>
      </x:c>
      <x:c r="AS22" s="20" t="n">
        <x:f>IFERROR(M22/G22,0)</x:f>
        <x:v>0.05521472392638037</x:v>
      </x:c>
      <x:c r="AT22" s="20" t="n">
        <x:f>IFERROR(R22/N22,0)</x:f>
        <x:v>0.08485401459854014</x:v>
      </x:c>
      <x:c r="AU22" s="20" t="n">
        <x:f>IFERROR(V22/22,0)</x:f>
        <x:v>24.272727272727273</x:v>
      </x:c>
      <x:c r="AV22" s="20" t="n">
        <x:f>IFERROR(X22/22,0)</x:f>
        <x:v>65.86363636363636</x:v>
      </x:c>
      <x:c r="AW22" s="20" t="n">
        <x:f>IFERROR(AE22/22,0)</x:f>
        <x:v>4.454545454545454</x:v>
      </x:c>
      <x:c r="AX22" s="20" t="n">
        <x:f>IFERROR(AB22/22,0)</x:f>
        <x:v>10.818181818181818</x:v>
      </x:c>
      <x:c r="AY22" s="20" t="n">
        <x:f>IFERROR(AN22/22,0)</x:f>
        <x:v>13.727272727272727</x:v>
      </x:c>
    </x:row>
    <x:row r="23" ht="22" customHeight="1">
      <x:c r="A23" s="17" t="str">
        <x:v>AP-0805</x:v>
      </x:c>
      <x:c r="B23" s="17" t="str">
        <x:v>Estación Biológica del Beni</x:v>
      </x:c>
      <x:c r="C23" s="17" t="str">
        <x:v>Sí</x:v>
      </x:c>
      <x:c r="D23" s="17" t="str">
        <x:v>BENI</x:v>
      </x:c>
      <x:c r="E23" s="17" t="str">
        <x:v>GENERAL JOSÉ BALLIVIÁN, YACUMA</x:v>
      </x:c>
      <x:c r="F23" s="17" t="str">
        <x:v>SAN BORJA, SANTA ANA</x:v>
      </x:c>
      <x:c r="G23" s="23" t="n">
        <x:v>1720</x:v>
      </x:c>
      <x:c r="H23" s="23" t="n">
        <x:v>904</x:v>
      </x:c>
      <x:c r="I23" s="23" t="n">
        <x:v>816</x:v>
      </x:c>
      <x:c r="J23" s="23" t="n">
        <x:v>1065</x:v>
      </x:c>
      <x:c r="K23" s="23" t="n">
        <x:v>420</x:v>
      </x:c>
      <x:c r="L23" s="23" t="n">
        <x:v>157</x:v>
      </x:c>
      <x:c r="M23" s="23" t="n">
        <x:v>78</x:v>
      </x:c>
      <x:c r="N23" s="23" t="n">
        <x:v>681</x:v>
      </x:c>
      <x:c r="O23" s="23" t="n">
        <x:v>361</x:v>
      </x:c>
      <x:c r="P23" s="23" t="n">
        <x:v>211</x:v>
      </x:c>
      <x:c r="Q23" s="23" t="n">
        <x:v>83</x:v>
      </x:c>
      <x:c r="R23" s="23" t="n">
        <x:v>13</x:v>
      </x:c>
      <x:c r="S23" s="23" t="n">
        <x:v>644</x:v>
      </x:c>
      <x:c r="T23" s="23" t="n">
        <x:v>16</x:v>
      </x:c>
      <x:c r="U23" s="23" t="n">
        <x:v>346</x:v>
      </x:c>
      <x:c r="V23" s="23" t="n">
        <x:v>630</x:v>
      </x:c>
      <x:c r="W23" s="23" t="n">
        <x:v>1</x:v>
      </x:c>
      <x:c r="X23" s="23" t="n">
        <x:v>484</x:v>
      </x:c>
      <x:c r="Y23" s="23" t="n">
        <x:v>1168</x:v>
      </x:c>
      <x:c r="Z23" s="23" t="n">
        <x:v>356</x:v>
      </x:c>
      <x:c r="AA23" s="23" t="n">
        <x:v>349</x:v>
      </x:c>
      <x:c r="AB23" s="23" t="n">
        <x:v>1</x:v>
      </x:c>
      <x:c r="AC23" s="23" t="n">
        <x:v>31</x:v>
      </x:c>
      <x:c r="AD23" s="23" t="n">
        <x:v>312</x:v>
      </x:c>
      <x:c r="AE23" s="23" t="n">
        <x:v>2</x:v>
      </x:c>
      <x:c r="AF23" s="23" t="n">
        <x:v>263</x:v>
      </x:c>
      <x:c r="AG23" s="23" t="n">
        <x:v>0</x:v>
      </x:c>
      <x:c r="AH23" s="23" t="n">
        <x:v>224</x:v>
      </x:c>
      <x:c r="AI23" s="23" t="n">
        <x:v>3</x:v>
      </x:c>
      <x:c r="AJ23" s="23" t="n">
        <x:v>342</x:v>
      </x:c>
      <x:c r="AK23" s="23" t="n">
        <x:v>1</x:v>
      </x:c>
      <x:c r="AL23" s="23" t="n">
        <x:v>318</x:v>
      </x:c>
      <x:c r="AM23" s="23" t="n">
        <x:v>60</x:v>
      </x:c>
      <x:c r="AN23" s="23" t="n">
        <x:v>17</x:v>
      </x:c>
      <x:c r="AO23" s="17" t="str">
        <x:v>Ficha_INE_Estacion_Biologica_del_Beni.pdf</x:v>
      </x:c>
      <x:c r="AP23" s="17" t="str">
        <x:v>Instituto Nacional de Estadística, Censo de Población y Vivienda 2024</x:v>
      </x:c>
      <x:c r="AQ23" s="20" t="n">
        <x:f>IFERROR(I23/G23,0)</x:f>
        <x:v>0.4744186046511628</x:v>
      </x:c>
      <x:c r="AR23" s="20" t="n">
        <x:f>IFERROR(J23/G23,0)</x:f>
        <x:v>0.6191860465116279</x:v>
      </x:c>
      <x:c r="AS23" s="20" t="n">
        <x:f>IFERROR(M23/G23,0)</x:f>
        <x:v>0.04534883720930233</x:v>
      </x:c>
      <x:c r="AT23" s="20" t="n">
        <x:f>IFERROR(R23/N23,0)</x:f>
        <x:v>0.01908957415565345</x:v>
      </x:c>
      <x:c r="AU23" s="20" t="n">
        <x:f>IFERROR(V23/23,0)</x:f>
        <x:v>27.391304347826086</x:v>
      </x:c>
      <x:c r="AV23" s="20" t="n">
        <x:f>IFERROR(X23/23,0)</x:f>
        <x:v>21.043478260869566</x:v>
      </x:c>
      <x:c r="AW23" s="20" t="n">
        <x:f>IFERROR(AE23/23,0)</x:f>
        <x:v>0.08695652173913043</x:v>
      </x:c>
      <x:c r="AX23" s="20" t="n">
        <x:f>IFERROR(AB23/23,0)</x:f>
        <x:v>0.043478260869565216</x:v>
      </x:c>
      <x:c r="AY23" s="20" t="n">
        <x:f>IFERROR(AN23/23,0)</x:f>
        <x:v>0.7391304347826086</x:v>
      </x:c>
    </x:row>
    <x:row r="24" ht="22" customHeight="1">
      <x:c r="A24" s="17" t="str">
        <x:v>AP-0101</x:v>
      </x:c>
      <x:c r="B24" s="17" t="str">
        <x:v>Sajama</x:v>
      </x:c>
      <x:c r="C24" s="17" t="str">
        <x:v>Sí</x:v>
      </x:c>
      <x:c r="D24" s="17" t="str">
        <x:v>ORURO</x:v>
      </x:c>
      <x:c r="E24" s="17" t="str">
        <x:v>SAJAMA</x:v>
      </x:c>
      <x:c r="F24" s="17" t="str">
        <x:v>CURAHUARA DE CARANGAS</x:v>
      </x:c>
      <x:c r="G24" s="23" t="n">
        <x:v>1169</x:v>
      </x:c>
      <x:c r="H24" s="23" t="n">
        <x:v>633</x:v>
      </x:c>
      <x:c r="I24" s="23" t="n">
        <x:v>536</x:v>
      </x:c>
      <x:c r="J24" s="23" t="n">
        <x:v>363</x:v>
      </x:c>
      <x:c r="K24" s="23" t="n">
        <x:v>409</x:v>
      </x:c>
      <x:c r="L24" s="23" t="n">
        <x:v>263</x:v>
      </x:c>
      <x:c r="M24" s="23" t="n">
        <x:v>134</x:v>
      </x:c>
      <x:c r="N24" s="23" t="n">
        <x:v>807</x:v>
      </x:c>
      <x:c r="O24" s="23" t="n">
        <x:v>21</x:v>
      </x:c>
      <x:c r="P24" s="23" t="n">
        <x:v>163</x:v>
      </x:c>
      <x:c r="Q24" s="23" t="n">
        <x:v>454</x:v>
      </x:c>
      <x:c r="R24" s="23" t="n">
        <x:v>168</x:v>
      </x:c>
      <x:c r="S24" s="23" t="n">
        <x:v>726</x:v>
      </x:c>
      <x:c r="T24" s="23" t="n">
        <x:v>75</x:v>
      </x:c>
      <x:c r="U24" s="23" t="n">
        <x:v>459</x:v>
      </x:c>
      <x:c r="V24" s="23" t="n">
        <x:v>526</x:v>
      </x:c>
      <x:c r="W24" s="23" t="n">
        <x:v>37</x:v>
      </x:c>
      <x:c r="X24" s="23" t="n">
        <x:v>910</x:v>
      </x:c>
      <x:c r="Y24" s="23" t="n">
        <x:v>151</x:v>
      </x:c>
      <x:c r="Z24" s="23" t="n">
        <x:v>754</x:v>
      </x:c>
      <x:c r="AA24" s="23" t="n">
        <x:v>365</x:v>
      </x:c>
      <x:c r="AB24" s="23" t="n">
        <x:v>318</x:v>
      </x:c>
      <x:c r="AC24" s="23" t="n">
        <x:v>11</x:v>
      </x:c>
      <x:c r="AD24" s="23" t="n">
        <x:v>34</x:v>
      </x:c>
      <x:c r="AE24" s="23" t="n">
        <x:v>205</x:v>
      </x:c>
      <x:c r="AF24" s="23" t="n">
        <x:v>28</x:v>
      </x:c>
      <x:c r="AG24" s="23" t="n">
        <x:v>150</x:v>
      </x:c>
      <x:c r="AH24" s="23" t="n">
        <x:v>90</x:v>
      </x:c>
      <x:c r="AI24" s="23" t="n">
        <x:v>237</x:v>
      </x:c>
      <x:c r="AJ24" s="23" t="n">
        <x:v>124</x:v>
      </x:c>
      <x:c r="AK24" s="23" t="n">
        <x:v>3</x:v>
      </x:c>
      <x:c r="AL24" s="23" t="n">
        <x:v>200</x:v>
      </x:c>
      <x:c r="AM24" s="23" t="n">
        <x:v>322</x:v>
      </x:c>
      <x:c r="AN24" s="23" t="n">
        <x:v>264</x:v>
      </x:c>
      <x:c r="AO24" s="17" t="str">
        <x:v>Ficha_INE_Sajama.pdf</x:v>
      </x:c>
      <x:c r="AP24" s="17" t="str">
        <x:v>Instituto Nacional de Estadística, Censo de Población y Vivienda 2024</x:v>
      </x:c>
      <x:c r="AQ24" s="20" t="n">
        <x:f>IFERROR(I24/G24,0)</x:f>
        <x:v>0.4585115483319076</x:v>
      </x:c>
      <x:c r="AR24" s="20" t="n">
        <x:f>IFERROR(J24/G24,0)</x:f>
        <x:v>0.3105218135158255</x:v>
      </x:c>
      <x:c r="AS24" s="20" t="n">
        <x:f>IFERROR(M24/G24,0)</x:f>
        <x:v>0.1146278870829769</x:v>
      </x:c>
      <x:c r="AT24" s="20" t="n">
        <x:f>IFERROR(R24/N24,0)</x:f>
        <x:v>0.20817843866171004</x:v>
      </x:c>
      <x:c r="AU24" s="20" t="n">
        <x:f>IFERROR(V24/24,0)</x:f>
        <x:v>21.916666666666668</x:v>
      </x:c>
      <x:c r="AV24" s="20" t="n">
        <x:f>IFERROR(X24/24,0)</x:f>
        <x:v>37.916666666666664</x:v>
      </x:c>
      <x:c r="AW24" s="20" t="n">
        <x:f>IFERROR(AE24/24,0)</x:f>
        <x:v>8.541666666666666</x:v>
      </x:c>
      <x:c r="AX24" s="20" t="n">
        <x:f>IFERROR(AB24/24,0)</x:f>
        <x:v>13.25</x:v>
      </x:c>
      <x:c r="AY24" s="20" t="n">
        <x:f>IFERROR(AN24/24,0)</x:f>
        <x:v>11</x:v>
      </x:c>
    </x:row>
    <x:row r="25" ht="22" customHeight="1">
      <x:c r="A25" s="17" t="str">
        <x:v>AP-2305</x:v>
      </x:c>
      <x:c r="B25" s="17" t="str">
        <x:v>El Cardon</x:v>
      </x:c>
      <x:c r="C25" s="17" t="str">
        <x:v>Sí</x:v>
      </x:c>
      <x:c r="D25" s="17" t="str">
        <x:v>TARIJA</x:v>
      </x:c>
      <x:c r="E25" s="17" t="str">
        <x:v>AVILEZ, MÉNDEZ</x:v>
      </x:c>
      <x:c r="F25" s="17" t="str">
        <x:v>YUNCHARÁ, EL PUENTE</x:v>
      </x:c>
      <x:c r="G25" s="23" t="n">
        <x:v>940</x:v>
      </x:c>
      <x:c r="H25" s="23" t="n">
        <x:v>466</x:v>
      </x:c>
      <x:c r="I25" s="23" t="n">
        <x:v>474</x:v>
      </x:c>
      <x:c r="J25" s="23" t="n">
        <x:v>322</x:v>
      </x:c>
      <x:c r="K25" s="23" t="n">
        <x:v>288</x:v>
      </x:c>
      <x:c r="L25" s="23" t="n">
        <x:v>166</x:v>
      </x:c>
      <x:c r="M25" s="23" t="n">
        <x:v>164</x:v>
      </x:c>
      <x:c r="N25" s="23" t="n">
        <x:v>619</x:v>
      </x:c>
      <x:c r="O25" s="23" t="n">
        <x:v>94</x:v>
      </x:c>
      <x:c r="P25" s="23" t="n">
        <x:v>309</x:v>
      </x:c>
      <x:c r="Q25" s="23" t="n">
        <x:v>137</x:v>
      </x:c>
      <x:c r="R25" s="23" t="n">
        <x:v>76</x:v>
      </x:c>
      <x:c r="S25" s="23" t="n">
        <x:v>543</x:v>
      </x:c>
      <x:c r="T25" s="23" t="n">
        <x:v>71</x:v>
      </x:c>
      <x:c r="U25" s="23" t="n">
        <x:v>266</x:v>
      </x:c>
      <x:c r="V25" s="23" t="n">
        <x:v>431</x:v>
      </x:c>
      <x:c r="W25" s="23" t="n">
        <x:v>13</x:v>
      </x:c>
      <x:c r="X25" s="23" t="n">
        <x:v>801</x:v>
      </x:c>
      <x:c r="Y25" s="23" t="n">
        <x:v>54</x:v>
      </x:c>
      <x:c r="Z25" s="23" t="n">
        <x:v>462</x:v>
      </x:c>
      <x:c r="AA25" s="23" t="n">
        <x:v>320</x:v>
      </x:c>
      <x:c r="AB25" s="23" t="n">
        <x:v>276</x:v>
      </x:c>
      <x:c r="AC25" s="23" t="n">
        <x:v>9</x:v>
      </x:c>
      <x:c r="AD25" s="23" t="n">
        <x:v>35</x:v>
      </x:c>
      <x:c r="AE25" s="23" t="n">
        <x:v>248</x:v>
      </x:c>
      <x:c r="AF25" s="23" t="n">
        <x:v>4</x:v>
      </x:c>
      <x:c r="AG25" s="23" t="n">
        <x:v>8</x:v>
      </x:c>
      <x:c r="AH25" s="23" t="n">
        <x:v>61</x:v>
      </x:c>
      <x:c r="AI25" s="23" t="n">
        <x:v>116</x:v>
      </x:c>
      <x:c r="AJ25" s="23" t="n">
        <x:v>165</x:v>
      </x:c>
      <x:c r="AK25" s="23" t="n">
        <x:v>0</x:v>
      </x:c>
      <x:c r="AL25" s="23" t="n">
        <x:v>275</x:v>
      </x:c>
      <x:c r="AM25" s="23" t="n">
        <x:v>263</x:v>
      </x:c>
      <x:c r="AN25" s="23" t="n">
        <x:v>223</x:v>
      </x:c>
      <x:c r="AO25" s="17" t="str">
        <x:v>Ficha_INE_El_Cardon.pdf</x:v>
      </x:c>
      <x:c r="AP25" s="17" t="str">
        <x:v>Instituto Nacional de Estadística, Censo de Población y Vivienda 2024</x:v>
      </x:c>
      <x:c r="AQ25" s="20" t="n">
        <x:f>IFERROR(I25/G25,0)</x:f>
        <x:v>0.5042553191489362</x:v>
      </x:c>
      <x:c r="AR25" s="20" t="n">
        <x:f>IFERROR(J25/G25,0)</x:f>
        <x:v>0.3425531914893617</x:v>
      </x:c>
      <x:c r="AS25" s="20" t="n">
        <x:f>IFERROR(M25/G25,0)</x:f>
        <x:v>0.17446808510638298</x:v>
      </x:c>
      <x:c r="AT25" s="20" t="n">
        <x:f>IFERROR(R25/N25,0)</x:f>
        <x:v>0.12277867528271405</x:v>
      </x:c>
      <x:c r="AU25" s="20" t="n">
        <x:f>IFERROR(V25/25,0)</x:f>
        <x:v>17.24</x:v>
      </x:c>
      <x:c r="AV25" s="20" t="n">
        <x:f>IFERROR(X25/25,0)</x:f>
        <x:v>32.04</x:v>
      </x:c>
      <x:c r="AW25" s="20" t="n">
        <x:f>IFERROR(AE25/25,0)</x:f>
        <x:v>9.92</x:v>
      </x:c>
      <x:c r="AX25" s="20" t="n">
        <x:f>IFERROR(AB25/25,0)</x:f>
        <x:v>11.04</x:v>
      </x:c>
      <x:c r="AY25" s="20" t="n">
        <x:f>IFERROR(AN25/25,0)</x:f>
        <x:v>8.92</x:v>
      </x:c>
    </x:row>
    <x:row r="26" ht="22" customHeight="1">
      <x:c r="A26" s="17" t="str">
        <x:v>Charagua-02</x:v>
      </x:c>
      <x:c r="B26" s="17" t="str">
        <x:v>Serranía Irenda</x:v>
      </x:c>
      <x:c r="C26" s="17" t="str">
        <x:v>Sí</x:v>
      </x:c>
      <x:c r="D26" s="17" t="str">
        <x:v>SANTA CRUZ</x:v>
      </x:c>
      <x:c r="E26" s="17" t="str">
        <x:v>CORDILLERA</x:v>
      </x:c>
      <x:c r="F26" s="17" t="str">
        <x:v>CHARAGUA (AUTONOMÍA GUARANÍ</x:v>
      </x:c>
      <x:c r="G26" s="23" t="n">
        <x:v>765</x:v>
      </x:c>
      <x:c r="H26" s="23" t="n">
        <x:v>398</x:v>
      </x:c>
      <x:c r="I26" s="23" t="n">
        <x:v>367</x:v>
      </x:c>
      <x:c r="J26" s="23" t="n">
        <x:v>411</x:v>
      </x:c>
      <x:c r="K26" s="23" t="n">
        <x:v>212</x:v>
      </x:c>
      <x:c r="L26" s="23" t="n">
        <x:v>104</x:v>
      </x:c>
      <x:c r="M26" s="23" t="n">
        <x:v>38</x:v>
      </x:c>
      <x:c r="N26" s="23" t="n">
        <x:v>360</x:v>
      </x:c>
      <x:c r="O26" s="23" t="n">
        <x:v>18</x:v>
      </x:c>
      <x:c r="P26" s="23" t="n">
        <x:v>175</x:v>
      </x:c>
      <x:c r="Q26" s="23" t="n">
        <x:v>138</x:v>
      </x:c>
      <x:c r="R26" s="23" t="n">
        <x:v>27</x:v>
      </x:c>
      <x:c r="S26" s="23" t="n">
        <x:v>294</x:v>
      </x:c>
      <x:c r="T26" s="23" t="n">
        <x:v>55</x:v>
      </x:c>
      <x:c r="U26" s="23" t="n">
        <x:v>119</x:v>
      </x:c>
      <x:c r="V26" s="23" t="n">
        <x:v>225</x:v>
      </x:c>
      <x:c r="W26" s="23" t="n">
        <x:v>5</x:v>
      </x:c>
      <x:c r="X26" s="23" t="n">
        <x:v>515</x:v>
      </x:c>
      <x:c r="Y26" s="23" t="n">
        <x:v>194</x:v>
      </x:c>
      <x:c r="Z26" s="23" t="n">
        <x:v>314</x:v>
      </x:c>
      <x:c r="AA26" s="23" t="n">
        <x:v>172</x:v>
      </x:c>
      <x:c r="AB26" s="23" t="n">
        <x:v>71</x:v>
      </x:c>
      <x:c r="AC26" s="23" t="n">
        <x:v>36</x:v>
      </x:c>
      <x:c r="AD26" s="23" t="n">
        <x:v>63</x:v>
      </x:c>
      <x:c r="AE26" s="23" t="n">
        <x:v>57</x:v>
      </x:c>
      <x:c r="AF26" s="23" t="n">
        <x:v>34</x:v>
      </x:c>
      <x:c r="AG26" s="23" t="n">
        <x:v>6</x:v>
      </x:c>
      <x:c r="AH26" s="23" t="n">
        <x:v>92</x:v>
      </x:c>
      <x:c r="AI26" s="23" t="n">
        <x:v>1</x:v>
      </x:c>
      <x:c r="AJ26" s="23" t="n">
        <x:v>167</x:v>
      </x:c>
      <x:c r="AK26" s="23" t="n">
        <x:v>1</x:v>
      </x:c>
      <x:c r="AL26" s="23" t="n">
        <x:v>141</x:v>
      </x:c>
      <x:c r="AM26" s="23" t="n">
        <x:v>102</x:v>
      </x:c>
      <x:c r="AN26" s="23" t="n">
        <x:v>42</x:v>
      </x:c>
      <x:c r="AO26" s="17" t="str">
        <x:v>Ficha_INE_Serrania_Irenda.pdf</x:v>
      </x:c>
      <x:c r="AP26" s="17" t="str">
        <x:v>Instituto Nacional de Estadística, Censo de Población y Vivienda 2024</x:v>
      </x:c>
      <x:c r="AQ26" s="20" t="n">
        <x:f>IFERROR(I26/G26,0)</x:f>
        <x:v>0.4797385620915033</x:v>
      </x:c>
      <x:c r="AR26" s="20" t="n">
        <x:f>IFERROR(J26/G26,0)</x:f>
        <x:v>0.5372549019607843</x:v>
      </x:c>
      <x:c r="AS26" s="20" t="n">
        <x:f>IFERROR(M26/G26,0)</x:f>
        <x:v>0.04967320261437908</x:v>
      </x:c>
      <x:c r="AT26" s="20" t="n">
        <x:f>IFERROR(R26/N26,0)</x:f>
        <x:v>0.075</x:v>
      </x:c>
      <x:c r="AU26" s="20" t="n">
        <x:f>IFERROR(V26/26,0)</x:f>
        <x:v>8.653846153846153</x:v>
      </x:c>
      <x:c r="AV26" s="20" t="n">
        <x:f>IFERROR(X26/26,0)</x:f>
        <x:v>19.807692307692307</x:v>
      </x:c>
      <x:c r="AW26" s="20" t="n">
        <x:f>IFERROR(AE26/26,0)</x:f>
        <x:v>2.1923076923076925</x:v>
      </x:c>
      <x:c r="AX26" s="20" t="n">
        <x:f>IFERROR(AB26/26,0)</x:f>
        <x:v>2.730769230769231</x:v>
      </x:c>
      <x:c r="AY26" s="20" t="n">
        <x:f>IFERROR(AN26/26,0)</x:f>
        <x:v>1.6153846153846154</x:v>
      </x:c>
    </x:row>
    <x:row r="27" ht="22" customHeight="1">
      <x:c r="A27" s="17" t="str">
        <x:v>Charagua-05</x:v>
      </x:c>
      <x:c r="B27" s="17" t="str">
        <x:v>Ñembi Guasu</x:v>
      </x:c>
      <x:c r="C27" s="17" t="str">
        <x:v>Sí</x:v>
      </x:c>
      <x:c r="D27" s="17" t="str">
        <x:v>SANTA CRUZ</x:v>
      </x:c>
      <x:c r="E27" s="17" t="str">
        <x:v>CORDILLERA</x:v>
      </x:c>
      <x:c r="F27" s="17" t="str">
        <x:v>CHARAGUA (AUTONOMÍA GUARANÍ</x:v>
      </x:c>
      <x:c r="G27" s="23" t="n">
        <x:v>247</x:v>
      </x:c>
      <x:c r="H27" s="23" t="n">
        <x:v>159</x:v>
      </x:c>
      <x:c r="I27" s="23" t="n">
        <x:v>88</x:v>
      </x:c>
      <x:c r="J27" s="23" t="n">
        <x:v>61</x:v>
      </x:c>
      <x:c r="K27" s="23" t="n">
        <x:v>114</x:v>
      </x:c>
      <x:c r="L27" s="23" t="n">
        <x:v>58</x:v>
      </x:c>
      <x:c r="M27" s="23" t="n">
        <x:v>14</x:v>
      </x:c>
      <x:c r="N27" s="23" t="n">
        <x:v>191</x:v>
      </x:c>
      <x:c r="O27" s="23" t="n">
        <x:v>9</x:v>
      </x:c>
      <x:c r="P27" s="23" t="n">
        <x:v>37</x:v>
      </x:c>
      <x:c r="Q27" s="23" t="n">
        <x:v>121</x:v>
      </x:c>
      <x:c r="R27" s="23" t="n">
        <x:v>22</x:v>
      </x:c>
      <x:c r="S27" s="23" t="n">
        <x:v>176</x:v>
      </x:c>
      <x:c r="T27" s="23" t="n">
        <x:v>16</x:v>
      </x:c>
      <x:c r="U27" s="23" t="n">
        <x:v>130</x:v>
      </x:c>
      <x:c r="V27" s="23" t="n">
        <x:v>143</x:v>
      </x:c>
      <x:c r="W27" s="23" t="n">
        <x:v>8</x:v>
      </x:c>
      <x:c r="X27" s="23" t="n">
        <x:v>166</x:v>
      </x:c>
      <x:c r="Y27" s="23" t="n">
        <x:v>55</x:v>
      </x:c>
      <x:c r="Z27" s="23" t="n">
        <x:v>140</x:v>
      </x:c>
      <x:c r="AA27" s="23" t="n">
        <x:v>103</x:v>
      </x:c>
      <x:c r="AB27" s="23" t="n">
        <x:v>1</x:v>
      </x:c>
      <x:c r="AC27" s="23" t="n">
        <x:v>11</x:v>
      </x:c>
      <x:c r="AD27" s="23" t="n">
        <x:v>83</x:v>
      </x:c>
      <x:c r="AE27" s="23" t="n">
        <x:v>0</x:v>
      </x:c>
      <x:c r="AF27" s="23" t="n">
        <x:v>5</x:v>
      </x:c>
      <x:c r="AG27" s="23" t="n">
        <x:v>0</x:v>
      </x:c>
      <x:c r="AH27" s="23" t="n">
        <x:v>77</x:v>
      </x:c>
      <x:c r="AI27" s="23" t="n">
        <x:v>1</x:v>
      </x:c>
      <x:c r="AJ27" s="23" t="n">
        <x:v>101</x:v>
      </x:c>
      <x:c r="AK27" s="23" t="n">
        <x:v>1</x:v>
      </x:c>
      <x:c r="AL27" s="23" t="n">
        <x:v>25</x:v>
      </x:c>
      <x:c r="AM27" s="23" t="n">
        <x:v>38</x:v>
      </x:c>
      <x:c r="AN27" s="23" t="n">
        <x:v>19</x:v>
      </x:c>
      <x:c r="AO27" s="17" t="str">
        <x:v>Ficha_INE_Nembi_Guasu.pdf</x:v>
      </x:c>
      <x:c r="AP27" s="17" t="str">
        <x:v>Instituto Nacional de Estadística, Censo de Población y Vivienda 2024</x:v>
      </x:c>
      <x:c r="AQ27" s="20" t="n">
        <x:f>IFERROR(I27/G27,0)</x:f>
        <x:v>0.3562753036437247</x:v>
      </x:c>
      <x:c r="AR27" s="20" t="n">
        <x:f>IFERROR(J27/G27,0)</x:f>
        <x:v>0.24696356275303644</x:v>
      </x:c>
      <x:c r="AS27" s="20" t="n">
        <x:f>IFERROR(M27/G27,0)</x:f>
        <x:v>0.05668016194331984</x:v>
      </x:c>
      <x:c r="AT27" s="20" t="n">
        <x:f>IFERROR(R27/N27,0)</x:f>
        <x:v>0.11518324607329843</x:v>
      </x:c>
      <x:c r="AU27" s="20" t="n">
        <x:f>IFERROR(V27/27,0)</x:f>
        <x:v>5.296296296296297</x:v>
      </x:c>
      <x:c r="AV27" s="20" t="n">
        <x:f>IFERROR(X27/27,0)</x:f>
        <x:v>6.148148148148148</x:v>
      </x:c>
      <x:c r="AW27" s="20" t="n">
        <x:f>IFERROR(AE27/27,0)</x:f>
        <x:v>0</x:v>
      </x:c>
      <x:c r="AX27" s="20" t="n">
        <x:f>IFERROR(AB27/27,0)</x:f>
        <x:v>0.037037037037037035</x:v>
      </x:c>
      <x:c r="AY27" s="20" t="n">
        <x:f>IFERROR(AN27/27,0)</x:f>
        <x:v>0.7037037037037037</x:v>
      </x:c>
    </x:row>
    <x:row r="28" ht="22" customHeight="1">
      <x:c r="A28" s="17" t="str">
        <x:v>AP-0504</x:v>
      </x:c>
      <x:c r="B28" s="17" t="str">
        <x:v>Eduardo Avaroa</x:v>
      </x:c>
      <x:c r="C28" s="17" t="str">
        <x:v>Sí</x:v>
      </x:c>
      <x:c r="D28" s="17" t="str">
        <x:v>POTOSÍ</x:v>
      </x:c>
      <x:c r="E28" s="17" t="str">
        <x:v>SUR LÍPEZ</x:v>
      </x:c>
      <x:c r="F28" s="17" t="str">
        <x:v>SAN PABLO</x:v>
      </x:c>
      <x:c r="G28" s="23" t="n">
        <x:v>91</x:v>
      </x:c>
      <x:c r="H28" s="23" t="n">
        <x:v>41</x:v>
      </x:c>
      <x:c r="I28" s="23" t="n">
        <x:v>50</x:v>
      </x:c>
      <x:c r="J28" s="23" t="n">
        <x:v>32</x:v>
      </x:c>
      <x:c r="K28" s="23" t="n">
        <x:v>37</x:v>
      </x:c>
      <x:c r="L28" s="23" t="n">
        <x:v>15</x:v>
      </x:c>
      <x:c r="M28" s="23" t="n">
        <x:v>7</x:v>
      </x:c>
      <x:c r="N28" s="23" t="n">
        <x:v>59</x:v>
      </x:c>
      <x:c r="O28" s="23" t="n">
        <x:v>4</x:v>
      </x:c>
      <x:c r="P28" s="23" t="n">
        <x:v>7</x:v>
      </x:c>
      <x:c r="Q28" s="23" t="n">
        <x:v>24</x:v>
      </x:c>
      <x:c r="R28" s="23" t="n">
        <x:v>23</x:v>
      </x:c>
      <x:c r="S28" s="23" t="n">
        <x:v>51</x:v>
      </x:c>
      <x:c r="T28" s="23" t="n">
        <x:v>29</x:v>
      </x:c>
      <x:c r="U28" s="23" t="n">
        <x:v>12</x:v>
      </x:c>
      <x:c r="V28" s="23" t="n">
        <x:v>12</x:v>
      </x:c>
      <x:c r="W28" s="23" t="n">
        <x:v>4</x:v>
      </x:c>
      <x:c r="X28" s="23" t="n">
        <x:v>60</x:v>
      </x:c>
      <x:c r="Y28" s="23" t="n">
        <x:v>10</x:v>
      </x:c>
      <x:c r="Z28" s="23" t="n">
        <x:v>54</x:v>
      </x:c>
      <x:c r="AA28" s="23" t="n">
        <x:v>35</x:v>
      </x:c>
      <x:c r="AB28" s="23" t="n">
        <x:v>21</x:v>
      </x:c>
      <x:c r="AC28" s="23" t="n">
        <x:v>10</x:v>
      </x:c>
      <x:c r="AD28" s="23" t="n">
        <x:v>3</x:v>
      </x:c>
      <x:c r="AE28" s="23" t="n">
        <x:v>30</x:v>
      </x:c>
      <x:c r="AF28" s="23" t="n">
        <x:v>0</x:v>
      </x:c>
      <x:c r="AG28" s="23" t="n">
        <x:v>0</x:v>
      </x:c>
      <x:c r="AH28" s="23" t="n">
        <x:v>4</x:v>
      </x:c>
      <x:c r="AI28" s="23" t="n">
        <x:v>22</x:v>
      </x:c>
      <x:c r="AJ28" s="23" t="n">
        <x:v>13</x:v>
      </x:c>
      <x:c r="AK28" s="23" t="n">
        <x:v>0</x:v>
      </x:c>
      <x:c r="AL28" s="23" t="n">
        <x:v>18</x:v>
      </x:c>
      <x:c r="AM28" s="23" t="n">
        <x:v>34</x:v>
      </x:c>
      <x:c r="AN28" s="23" t="n">
        <x:v>32</x:v>
      </x:c>
      <x:c r="AO28" s="17" t="str">
        <x:v>Ficha_INE_Eduardo_Avaroa.pdf</x:v>
      </x:c>
      <x:c r="AP28" s="17" t="str">
        <x:v>Instituto Nacional de Estadística, Censo de Población y Vivienda 2024</x:v>
      </x:c>
      <x:c r="AQ28" s="20" t="n">
        <x:f>IFERROR(I28/G28,0)</x:f>
        <x:v>0.5494505494505495</x:v>
      </x:c>
      <x:c r="AR28" s="20" t="n">
        <x:f>IFERROR(J28/G28,0)</x:f>
        <x:v>0.3516483516483517</x:v>
      </x:c>
      <x:c r="AS28" s="20" t="n">
        <x:f>IFERROR(M28/G28,0)</x:f>
        <x:v>0.07692307692307693</x:v>
      </x:c>
      <x:c r="AT28" s="20" t="n">
        <x:f>IFERROR(R28/N28,0)</x:f>
        <x:v>0.3898305084745763</x:v>
      </x:c>
      <x:c r="AU28" s="20" t="n">
        <x:f>IFERROR(V28/28,0)</x:f>
        <x:v>0.42857142857142855</x:v>
      </x:c>
      <x:c r="AV28" s="20" t="n">
        <x:f>IFERROR(X28/28,0)</x:f>
        <x:v>2.142857142857143</x:v>
      </x:c>
      <x:c r="AW28" s="20" t="n">
        <x:f>IFERROR(AE28/28,0)</x:f>
        <x:v>1.0714285714285714</x:v>
      </x:c>
      <x:c r="AX28" s="20" t="n">
        <x:f>IFERROR(AB28/28,0)</x:f>
        <x:v>0.75</x:v>
      </x:c>
      <x:c r="AY28" s="20" t="n">
        <x:f>IFERROR(AN28/28,0)</x:f>
        <x:v>1.1428571428571428</x:v>
      </x:c>
    </x:row>
    <x:row r="29" ht="22" customHeight="1">
      <x:c r="A29" s="17" t="str">
        <x:v>AP-1701</x:v>
      </x:c>
      <x:c r="B29" s="17" t="str">
        <x:v>Kaa-iya del Gran Chaco</x:v>
      </x:c>
      <x:c r="C29" s="17" t="str">
        <x:v>Sí</x:v>
      </x:c>
      <x:c r="D29" s="17" t="str">
        <x:v>SANTA CRUZ</x:v>
      </x:c>
      <x:c r="E29" s="17" t="str">
        <x:v>CORDILLERA</x:v>
      </x:c>
      <x:c r="F29" s="17" t="str">
        <x:v>CHARAGUA (AUTONOMÍA GUARANÍ</x:v>
      </x:c>
      <x:c r="G29" s="23" t="n">
        <x:v>90</x:v>
      </x:c>
      <x:c r="H29" s="23" t="n">
        <x:v>72</x:v>
      </x:c>
      <x:c r="I29" s="23" t="n">
        <x:v>18</x:v>
      </x:c>
      <x:c r="J29" s="23" t="n">
        <x:v>35</x:v>
      </x:c>
      <x:c r="K29" s="23" t="n">
        <x:v>32</x:v>
      </x:c>
      <x:c r="L29" s="23" t="n">
        <x:v>19</x:v>
      </x:c>
      <x:c r="M29" s="23" t="n">
        <x:v>4</x:v>
      </x:c>
      <x:c r="N29" s="23" t="n">
        <x:v>68</x:v>
      </x:c>
      <x:c r="O29" s="23" t="n">
        <x:v>0</x:v>
      </x:c>
      <x:c r="P29" s="23" t="n">
        <x:v>13</x:v>
      </x:c>
      <x:c r="Q29" s="23" t="n">
        <x:v>47</x:v>
      </x:c>
      <x:c r="R29" s="23" t="n">
        <x:v>8</x:v>
      </x:c>
      <x:c r="S29" s="23" t="n">
        <x:v>51</x:v>
      </x:c>
      <x:c r="T29" s="23" t="n">
        <x:v>11</x:v>
      </x:c>
      <x:c r="U29" s="23" t="n">
        <x:v>36</x:v>
      </x:c>
      <x:c r="V29" s="23" t="n">
        <x:v>30</x:v>
      </x:c>
      <x:c r="W29" s="23" t="n">
        <x:v>7</x:v>
      </x:c>
      <x:c r="X29" s="23" t="n">
        <x:v>49</x:v>
      </x:c>
      <x:c r="Y29" s="23" t="n">
        <x:v>6</x:v>
      </x:c>
      <x:c r="Z29" s="23" t="n">
        <x:v>31</x:v>
      </x:c>
      <x:c r="AA29" s="23" t="n">
        <x:v>19</x:v>
      </x:c>
      <x:c r="AB29" s="23" t="n">
        <x:v>0</x:v>
      </x:c>
      <x:c r="AC29" s="23" t="n">
        <x:v>6</x:v>
      </x:c>
      <x:c r="AD29" s="23" t="n">
        <x:v>11</x:v>
      </x:c>
      <x:c r="AE29" s="23" t="n">
        <x:v>0</x:v>
      </x:c>
      <x:c r="AF29" s="23" t="n">
        <x:v>7</x:v>
      </x:c>
      <x:c r="AG29" s="23" t="n">
        <x:v>5</x:v>
      </x:c>
      <x:c r="AH29" s="23" t="n">
        <x:v>10</x:v>
      </x:c>
      <x:c r="AI29" s="23" t="n">
        <x:v>0</x:v>
      </x:c>
      <x:c r="AJ29" s="23" t="n">
        <x:v>19</x:v>
      </x:c>
      <x:c r="AK29" s="23" t="n">
        <x:v>0</x:v>
      </x:c>
      <x:c r="AL29" s="23" t="n">
        <x:v>11</x:v>
      </x:c>
      <x:c r="AM29" s="23" t="n">
        <x:v>12</x:v>
      </x:c>
      <x:c r="AN29" s="23" t="n">
        <x:v>8</x:v>
      </x:c>
      <x:c r="AO29" s="17" t="str">
        <x:v>Ficha_INE_Kaa_iya_del_Gran_Chaco.pdf</x:v>
      </x:c>
      <x:c r="AP29" s="17" t="str">
        <x:v>Instituto Nacional de Estadística, Censo de Población y Vivienda 2024</x:v>
      </x:c>
      <x:c r="AQ29" s="20" t="n">
        <x:f>IFERROR(I29/G29,0)</x:f>
        <x:v>0.2</x:v>
      </x:c>
      <x:c r="AR29" s="20" t="n">
        <x:f>IFERROR(J29/G29,0)</x:f>
        <x:v>0.3888888888888889</x:v>
      </x:c>
      <x:c r="AS29" s="20" t="n">
        <x:f>IFERROR(M29/G29,0)</x:f>
        <x:v>0.044444444444444446</x:v>
      </x:c>
      <x:c r="AT29" s="20" t="n">
        <x:f>IFERROR(R29/N29,0)</x:f>
        <x:v>0.11764705882352941</x:v>
      </x:c>
      <x:c r="AU29" s="20" t="n">
        <x:f>IFERROR(V29/29,0)</x:f>
        <x:v>1.0344827586206897</x:v>
      </x:c>
      <x:c r="AV29" s="20" t="n">
        <x:f>IFERROR(X29/29,0)</x:f>
        <x:v>1.6896551724137931</x:v>
      </x:c>
      <x:c r="AW29" s="20" t="n">
        <x:f>IFERROR(AE29/29,0)</x:f>
        <x:v>0</x:v>
      </x:c>
      <x:c r="AX29" s="20" t="n">
        <x:f>IFERROR(AB29/29,0)</x:f>
        <x:v>0</x:v>
      </x:c>
      <x:c r="AY29" s="20" t="n">
        <x:f>IFERROR(AN29/29,0)</x:f>
        <x:v>0.27586206896551724</x:v>
      </x:c>
    </x:row>
    <x:row r="30" ht="22" customHeight="1">
      <x:c r="A30" s="17" t="str">
        <x:v>AP-2001</x:v>
      </x:c>
      <x:c r="B30" s="17" t="str">
        <x:v>Otuquis</x:v>
      </x:c>
      <x:c r="C30" s="17" t="str">
        <x:v>Sí</x:v>
      </x:c>
      <x:c r="D30" s="17" t="str">
        <x:v>SANTA CRUZ</x:v>
      </x:c>
      <x:c r="E30" s="17" t="str">
        <x:v>GERMÁN BUSCH</x:v>
      </x:c>
      <x:c r="F30" s="17" t="str">
        <x:v>PUERTO SUÁREZ, PUERTO QUIJARRO</x:v>
      </x:c>
      <x:c r="G30" s="23" t="n">
        <x:v>62</x:v>
      </x:c>
      <x:c r="H30" s="23" t="n">
        <x:v>51</x:v>
      </x:c>
      <x:c r="I30" s="23" t="n">
        <x:v>11</x:v>
      </x:c>
      <x:c r="J30" s="23" t="n">
        <x:v>13</x:v>
      </x:c>
      <x:c r="K30" s="23" t="n">
        <x:v>35</x:v>
      </x:c>
      <x:c r="L30" s="23" t="n">
        <x:v>13</x:v>
      </x:c>
      <x:c r="M30" s="23" t="n">
        <x:v>1</x:v>
      </x:c>
      <x:c r="N30" s="23" t="n">
        <x:v>40</x:v>
      </x:c>
      <x:c r="O30" s="23" t="n">
        <x:v>0</x:v>
      </x:c>
      <x:c r="P30" s="23" t="n">
        <x:v>3</x:v>
      </x:c>
      <x:c r="Q30" s="23" t="n">
        <x:v>24</x:v>
      </x:c>
      <x:c r="R30" s="23" t="n">
        <x:v>13</x:v>
      </x:c>
      <x:c r="S30" s="23" t="n">
        <x:v>40</x:v>
      </x:c>
      <x:c r="T30" s="23" t="n">
        <x:v>31</x:v>
      </x:c>
      <x:c r="U30" s="23" t="n">
        <x:v>5</x:v>
      </x:c>
      <x:c r="V30" s="23" t="n">
        <x:v>7</x:v>
      </x:c>
      <x:c r="W30" s="23" t="n">
        <x:v>3</x:v>
      </x:c>
      <x:c r="X30" s="23" t="n">
        <x:v>24</x:v>
      </x:c>
      <x:c r="Y30" s="23" t="n">
        <x:v>13</x:v>
      </x:c>
      <x:c r="Z30" s="23" t="n">
        <x:v>22</x:v>
      </x:c>
      <x:c r="AA30" s="23" t="n">
        <x:v>19</x:v>
      </x:c>
      <x:c r="AB30" s="23" t="n">
        <x:v>6</x:v>
      </x:c>
      <x:c r="AC30" s="23" t="n">
        <x:v>6</x:v>
      </x:c>
      <x:c r="AD30" s="23" t="n">
        <x:v>2</x:v>
      </x:c>
      <x:c r="AE30" s="23" t="n">
        <x:v>4</x:v>
      </x:c>
      <x:c r="AF30" s="23" t="n">
        <x:v>3</x:v>
      </x:c>
      <x:c r="AG30" s="23" t="n">
        <x:v>4</x:v>
      </x:c>
      <x:c r="AH30" s="23" t="n">
        <x:v>1</x:v>
      </x:c>
      <x:c r="AI30" s="23" t="n">
        <x:v>9</x:v>
      </x:c>
      <x:c r="AJ30" s="23" t="n">
        <x:v>10</x:v>
      </x:c>
      <x:c r="AK30" s="23" t="n">
        <x:v>3</x:v>
      </x:c>
      <x:c r="AL30" s="23" t="n">
        <x:v>6</x:v>
      </x:c>
      <x:c r="AM30" s="23" t="n">
        <x:v>9</x:v>
      </x:c>
      <x:c r="AN30" s="23" t="n">
        <x:v>9</x:v>
      </x:c>
      <x:c r="AO30" s="17" t="str">
        <x:v>Ficha_INE_Otuquis.pdf</x:v>
      </x:c>
      <x:c r="AP30" s="17" t="str">
        <x:v>Instituto Nacional de Estadística, Censo de Población y Vivienda 2024</x:v>
      </x:c>
      <x:c r="AQ30" s="20" t="n">
        <x:f>IFERROR(I30/G30,0)</x:f>
        <x:v>0.1774193548387097</x:v>
      </x:c>
      <x:c r="AR30" s="20" t="n">
        <x:f>IFERROR(J30/G30,0)</x:f>
        <x:v>0.20967741935483872</x:v>
      </x:c>
      <x:c r="AS30" s="20" t="n">
        <x:f>IFERROR(M30/G30,0)</x:f>
        <x:v>0.016129032258064516</x:v>
      </x:c>
      <x:c r="AT30" s="20" t="n">
        <x:f>IFERROR(R30/N30,0)</x:f>
        <x:v>0.325</x:v>
      </x:c>
      <x:c r="AU30" s="20" t="n">
        <x:f>IFERROR(V30/30,0)</x:f>
        <x:v>0.23333333333333334</x:v>
      </x:c>
      <x:c r="AV30" s="20" t="n">
        <x:f>IFERROR(X30/30,0)</x:f>
        <x:v>0.8</x:v>
      </x:c>
      <x:c r="AW30" s="20" t="n">
        <x:f>IFERROR(AE30/30,0)</x:f>
        <x:v>0.13333333333333333</x:v>
      </x:c>
      <x:c r="AX30" s="20" t="n">
        <x:f>IFERROR(AB30/30,0)</x:f>
        <x:v>0.2</x:v>
      </x:c>
      <x:c r="AY30" s="20" t="n">
        <x:f>IFERROR(AN30/30,0)</x:f>
        <x:v>0.3</x:v>
      </x:c>
    </x:row>
    <x:row r="31" ht="22" customHeight="1">
      <x:c r="A31" s="17" t="str">
        <x:v>Charagua-01</x:v>
      </x:c>
      <x:c r="B31" s="17" t="str">
        <x:v>Guajukaka</x:v>
      </x:c>
      <x:c r="C31" s="17" t="str">
        <x:v>Sí</x:v>
      </x:c>
      <x:c r="D31" s="17" t="str">
        <x:v>SANTA CRUZ</x:v>
      </x:c>
      <x:c r="E31" s="17" t="str">
        <x:v>CORDILLERA</x:v>
      </x:c>
      <x:c r="F31" s="17" t="str">
        <x:v>CHARAGUA (AUTONOMÍA GUARANÍ</x:v>
      </x:c>
      <x:c r="G31" s="23" t="n">
        <x:v>60</x:v>
      </x:c>
      <x:c r="H31" s="23" t="n">
        <x:v>38</x:v>
      </x:c>
      <x:c r="I31" s="23" t="n">
        <x:v>22</x:v>
      </x:c>
      <x:c r="J31" s="23" t="n">
        <x:v>14</x:v>
      </x:c>
      <x:c r="K31" s="23" t="n">
        <x:v>18</x:v>
      </x:c>
      <x:c r="L31" s="23" t="n">
        <x:v>19</x:v>
      </x:c>
      <x:c r="M31" s="23" t="n">
        <x:v>9</x:v>
      </x:c>
      <x:c r="N31" s="23" t="n">
        <x:v>45</x:v>
      </x:c>
      <x:c r="O31" s="23" t="n">
        <x:v>2</x:v>
      </x:c>
      <x:c r="P31" s="23" t="n">
        <x:v>3</x:v>
      </x:c>
      <x:c r="Q31" s="23" t="n">
        <x:v>23</x:v>
      </x:c>
      <x:c r="R31" s="23" t="n">
        <x:v>7</x:v>
      </x:c>
      <x:c r="S31" s="23" t="n">
        <x:v>33</x:v>
      </x:c>
      <x:c r="T31" s="23" t="n">
        <x:v>5</x:v>
      </x:c>
      <x:c r="U31" s="23" t="n">
        <x:v>23</x:v>
      </x:c>
      <x:c r="V31" s="23" t="n">
        <x:v>29</x:v>
      </x:c>
      <x:c r="W31" s="23" t="n">
        <x:v>1</x:v>
      </x:c>
      <x:c r="X31" s="23" t="n">
        <x:v>30</x:v>
      </x:c>
      <x:c r="Y31" s="23" t="n">
        <x:v>6</x:v>
      </x:c>
      <x:c r="Z31" s="23" t="n">
        <x:v>63</x:v>
      </x:c>
      <x:c r="AA31" s="23" t="n">
        <x:v>16</x:v>
      </x:c>
      <x:c r="AB31" s="23" t="n">
        <x:v>0</x:v>
      </x:c>
      <x:c r="AC31" s="23" t="n">
        <x:v>10</x:v>
      </x:c>
      <x:c r="AD31" s="23" t="n">
        <x:v>4</x:v>
      </x:c>
      <x:c r="AE31" s="23" t="n">
        <x:v>0</x:v>
      </x:c>
      <x:c r="AF31" s="23" t="n">
        <x:v>0</x:v>
      </x:c>
      <x:c r="AG31" s="23" t="n">
        <x:v>0</x:v>
      </x:c>
      <x:c r="AH31" s="23" t="n">
        <x:v>7</x:v>
      </x:c>
      <x:c r="AI31" s="23" t="n">
        <x:v>0</x:v>
      </x:c>
      <x:c r="AJ31" s="23" t="n">
        <x:v>16</x:v>
      </x:c>
      <x:c r="AK31" s="23" t="n">
        <x:v>0</x:v>
      </x:c>
      <x:c r="AL31" s="23" t="n">
        <x:v>14</x:v>
      </x:c>
      <x:c r="AM31" s="23" t="n">
        <x:v>6</x:v>
      </x:c>
      <x:c r="AN31" s="23" t="n">
        <x:v>1</x:v>
      </x:c>
      <x:c r="AO31" s="17" t="str">
        <x:v>Ficha_INE_Guajukaka.pdf</x:v>
      </x:c>
      <x:c r="AP31" s="17" t="str">
        <x:v>Instituto Nacional de Estadística, Censo de Población y Vivienda 2024</x:v>
      </x:c>
      <x:c r="AQ31" s="20" t="n">
        <x:f>IFERROR(I31/G31,0)</x:f>
        <x:v>0.36666666666666664</x:v>
      </x:c>
      <x:c r="AR31" s="20" t="n">
        <x:f>IFERROR(J31/G31,0)</x:f>
        <x:v>0.23333333333333334</x:v>
      </x:c>
      <x:c r="AS31" s="20" t="n">
        <x:f>IFERROR(M31/G31,0)</x:f>
        <x:v>0.15</x:v>
      </x:c>
      <x:c r="AT31" s="20" t="n">
        <x:f>IFERROR(R31/N31,0)</x:f>
        <x:v>0.15555555555555556</x:v>
      </x:c>
      <x:c r="AU31" s="20" t="n">
        <x:f>IFERROR(V31/31,0)</x:f>
        <x:v>0.9354838709677419</x:v>
      </x:c>
      <x:c r="AV31" s="20" t="n">
        <x:f>IFERROR(X31/31,0)</x:f>
        <x:v>0.967741935483871</x:v>
      </x:c>
      <x:c r="AW31" s="20" t="n">
        <x:f>IFERROR(AE31/31,0)</x:f>
        <x:v>0</x:v>
      </x:c>
      <x:c r="AX31" s="20" t="n">
        <x:f>IFERROR(AB31/31,0)</x:f>
        <x:v>0</x:v>
      </x:c>
      <x:c r="AY31" s="20" t="n">
        <x:f>IFERROR(AN31/31,0)</x:f>
        <x:v>0.03225806451612903</x:v>
      </x:c>
    </x:row>
    <x:row r="32" ht="22" customHeight="1">
      <x:c r="A32" s="18" t="str">
        <x:v>AP-0701</x:v>
      </x:c>
      <x:c r="B32" s="18" t="str">
        <x:v>Noel Kempff Mercado</x:v>
      </x:c>
      <x:c r="C32" s="18" t="str">
        <x:v>No</x:v>
      </x:c>
      <x:c r="D32" s="18" t="str"/>
      <x:c r="E32" s="18" t="str"/>
      <x:c r="F32" s="18" t="str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  <x:c r="AA32" s="24"/>
      <x:c r="AB32" s="24"/>
      <x:c r="AC32" s="24"/>
      <x:c r="AD32" s="24"/>
      <x:c r="AE32" s="24"/>
      <x:c r="AF32" s="24"/>
      <x:c r="AG32" s="24"/>
      <x:c r="AH32" s="24"/>
      <x:c r="AI32" s="24"/>
      <x:c r="AJ32" s="24"/>
      <x:c r="AK32" s="24"/>
      <x:c r="AL32" s="24"/>
      <x:c r="AM32" s="24"/>
      <x:c r="AN32" s="24"/>
      <x:c r="AO32" s="18" t="str"/>
      <x:c r="AP32" s="18" t="str">
        <x:v>Sin ficha PDF disponible en la carpeta proporcionada</x:v>
      </x:c>
      <x:c r="AQ32" s="21" t="n">
        <x:f>IFERROR(I32/G32,0)</x:f>
        <x:v>0</x:v>
      </x:c>
      <x:c r="AR32" s="21" t="n">
        <x:f>IFERROR(J32/G32,0)</x:f>
        <x:v>0</x:v>
      </x:c>
      <x:c r="AS32" s="21" t="n">
        <x:f>IFERROR(M32/G32,0)</x:f>
        <x:v>0</x:v>
      </x:c>
      <x:c r="AT32" s="21" t="n">
        <x:f>IFERROR(R32/N32,0)</x:f>
        <x:v>0</x:v>
      </x:c>
      <x:c r="AU32" s="21" t="n">
        <x:f>IFERROR(V32/32,0)</x:f>
        <x:v>0</x:v>
      </x:c>
      <x:c r="AV32" s="21" t="n">
        <x:f>IFERROR(X32/32,0)</x:f>
        <x:v>0</x:v>
      </x:c>
      <x:c r="AW32" s="21" t="n">
        <x:f>IFERROR(AE32/32,0)</x:f>
        <x:v>0</x:v>
      </x:c>
      <x:c r="AX32" s="21" t="n">
        <x:f>IFERROR(AB32/32,0)</x:f>
        <x:v>0</x:v>
      </x:c>
      <x:c r="AY32" s="21" t="n">
        <x:f>IFERROR(AN32/32,0)</x:f>
        <x:v>0</x:v>
      </x:c>
    </x:row>
  </x:sheetData>
  <x:mergeCells>
    <x:mergeCell ref="A1:AY1"/>
    <x:mergeCell ref="A2:AY2"/>
  </x:mergeCells>
  <x:conditionalFormatting sqref="G5:G32">
    <x:cfRule type="colorScale" priority="1">
      <x:colorScale>
        <x:cfvo type="min"/>
        <x:cfvo type="percentile" val="50"/>
        <x:cfvo type="max"/>
        <x:color rgb="FFFFF2CC"/>
        <x:color rgb="FFF4B183"/>
        <x:color rgb="FFC0000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75cabee7da44a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</x:cols>
  <x:sheetData>
    <x:row r="1" ht="30" customHeight="1">
      <x:c r="A1" s="25" t="str">
        <x:v>Datos completos extraídos de las fichas INE por área protegida</x:v>
      </x:c>
      <x:c r="B1" s="25"/>
      <x:c r="C1" s="25"/>
      <x:c r="D1" s="25"/>
      <x:c r="E1" s="25"/>
      <x:c r="F1" s="25"/>
      <x:c r="G1" s="25"/>
      <x:c r="H1" s="25"/>
    </x:row>
    <x:row r="3" ht="40" customHeight="1">
      <x:c r="A3" s="28" t="str">
        <x:v>Código AP</x:v>
      </x:c>
      <x:c r="B3" s="28" t="str">
        <x:v>Área protegida</x:v>
      </x:c>
      <x:c r="C3" s="28" t="str">
        <x:v>Orden AP</x:v>
      </x:c>
      <x:c r="D3" s="28" t="str">
        <x:v>Ficha disponible</x:v>
      </x:c>
      <x:c r="E3" s="28" t="str">
        <x:v>Departamento(s)</x:v>
      </x:c>
      <x:c r="F3" s="28" t="str">
        <x:v>Provincia(s)</x:v>
      </x:c>
      <x:c r="G3" s="28" t="str">
        <x:v>Municipio(s)/TIOC</x:v>
      </x:c>
      <x:c r="H3" s="28" t="str">
        <x:v>Edad Total Total</x:v>
      </x:c>
      <x:c r="I3" s="28" t="str">
        <x:v>Edad Total Hombres</x:v>
      </x:c>
      <x:c r="J3" s="28" t="str">
        <x:v>Edad Total Mujeres</x:v>
      </x:c>
      <x:c r="K3" s="28" t="str">
        <x:v>Edad 0 19 Total</x:v>
      </x:c>
      <x:c r="L3" s="28" t="str">
        <x:v>Edad 0 19 Hombres</x:v>
      </x:c>
      <x:c r="M3" s="28" t="str">
        <x:v>Edad 0 19 Mujeres</x:v>
      </x:c>
      <x:c r="N3" s="28" t="str">
        <x:v>Edad 20 39 Total</x:v>
      </x:c>
      <x:c r="O3" s="28" t="str">
        <x:v>Edad 20 39 Hombres</x:v>
      </x:c>
      <x:c r="P3" s="28" t="str">
        <x:v>Edad 20 39 Mujeres</x:v>
      </x:c>
      <x:c r="Q3" s="28" t="str">
        <x:v>Edad 40 59 Total</x:v>
      </x:c>
      <x:c r="R3" s="28" t="str">
        <x:v>Edad 40 59 Hombres</x:v>
      </x:c>
      <x:c r="S3" s="28" t="str">
        <x:v>Edad 40 59 Mujeres</x:v>
      </x:c>
      <x:c r="T3" s="28" t="str">
        <x:v>Edad 60 más Total</x:v>
      </x:c>
      <x:c r="U3" s="28" t="str">
        <x:v>Edad 60 más Hombres</x:v>
      </x:c>
      <x:c r="V3" s="28" t="str">
        <x:v>Edad 60 más Mujeres</x:v>
      </x:c>
      <x:c r="W3" s="28" t="str">
        <x:v>Nacimiento Total Total</x:v>
      </x:c>
      <x:c r="X3" s="28" t="str">
        <x:v>Nacimiento Total Hombres</x:v>
      </x:c>
      <x:c r="Y3" s="28" t="str">
        <x:v>Nacimiento Total Mujeres</x:v>
      </x:c>
      <x:c r="Z3" s="28" t="str">
        <x:v>Nacimiento aquí Total</x:v>
      </x:c>
      <x:c r="AA3" s="28" t="str">
        <x:v>Nacimiento aquí Hombres</x:v>
      </x:c>
      <x:c r="AB3" s="28" t="str">
        <x:v>Nacimiento aquí Mujeres</x:v>
      </x:c>
      <x:c r="AC3" s="28" t="str">
        <x:v>Nacimiento Otro Municipio Total</x:v>
      </x:c>
      <x:c r="AD3" s="28" t="str">
        <x:v>Nacimiento Otro Municipio Hombres</x:v>
      </x:c>
      <x:c r="AE3" s="28" t="str">
        <x:v>Nacimiento Otro Municipio Mujeres</x:v>
      </x:c>
      <x:c r="AF3" s="28" t="str">
        <x:v>Nacimiento otro país Total</x:v>
      </x:c>
      <x:c r="AG3" s="28" t="str">
        <x:v>Nacimiento otro país Hombres</x:v>
      </x:c>
      <x:c r="AH3" s="28" t="str">
        <x:v>Nacimiento otro país Mujeres</x:v>
      </x:c>
      <x:c r="AI3" s="28" t="str">
        <x:v>Nacimiento Sin Especificar Total</x:v>
      </x:c>
      <x:c r="AJ3" s="28" t="str">
        <x:v>Nacimiento Sin Especificar Hombres</x:v>
      </x:c>
      <x:c r="AK3" s="28" t="str">
        <x:v>Nacimiento Sin Especificar Mujeres</x:v>
      </x:c>
      <x:c r="AL3" s="28" t="str">
        <x:v>Residencia Total Total</x:v>
      </x:c>
      <x:c r="AM3" s="28" t="str">
        <x:v>Residencia Total Hombres</x:v>
      </x:c>
      <x:c r="AN3" s="28" t="str">
        <x:v>Residencia Total Mujeres</x:v>
      </x:c>
      <x:c r="AO3" s="28" t="str">
        <x:v>Residencia aquí Total</x:v>
      </x:c>
      <x:c r="AP3" s="28" t="str">
        <x:v>Residencia aquí Hombres</x:v>
      </x:c>
      <x:c r="AQ3" s="28" t="str">
        <x:v>Residencia aquí Mujeres</x:v>
      </x:c>
      <x:c r="AR3" s="28" t="str">
        <x:v>Residencia Otro Municipio Total</x:v>
      </x:c>
      <x:c r="AS3" s="28" t="str">
        <x:v>Residencia Otro Municipio Hombres</x:v>
      </x:c>
      <x:c r="AT3" s="28" t="str">
        <x:v>Residencia Otro Municipio Mujeres</x:v>
      </x:c>
      <x:c r="AU3" s="28" t="str">
        <x:v>Residencia otro país Total</x:v>
      </x:c>
      <x:c r="AV3" s="28" t="str">
        <x:v>Residencia otro país Hombres</x:v>
      </x:c>
      <x:c r="AW3" s="28" t="str">
        <x:v>Residencia otro país Mujeres</x:v>
      </x:c>
      <x:c r="AX3" s="28" t="str">
        <x:v>Residencia Sin Especificar Total</x:v>
      </x:c>
      <x:c r="AY3" s="28" t="str">
        <x:v>Residencia Sin Especificar Hombres</x:v>
      </x:c>
      <x:c r="AZ3" s="28" t="str">
        <x:v>Residencia Sin Especificar Mujeres</x:v>
      </x:c>
      <x:c r="BA3" s="28" t="str">
        <x:v>Educación Total 19 más Total</x:v>
      </x:c>
      <x:c r="BB3" s="28" t="str">
        <x:v>Educación Total 19 más Hombres</x:v>
      </x:c>
      <x:c r="BC3" s="28" t="str">
        <x:v>Educación Total 19 más Mujeres</x:v>
      </x:c>
      <x:c r="BD3" s="28" t="str">
        <x:v>Educación Ninguno Total</x:v>
      </x:c>
      <x:c r="BE3" s="28" t="str">
        <x:v>Educación Ninguno Hombres</x:v>
      </x:c>
      <x:c r="BF3" s="28" t="str">
        <x:v>Educación Ninguno Mujeres</x:v>
      </x:c>
      <x:c r="BG3" s="28" t="str">
        <x:v>Educación Primaria Total</x:v>
      </x:c>
      <x:c r="BH3" s="28" t="str">
        <x:v>Educación Primaria Hombres</x:v>
      </x:c>
      <x:c r="BI3" s="28" t="str">
        <x:v>Educación Primaria Mujeres</x:v>
      </x:c>
      <x:c r="BJ3" s="28" t="str">
        <x:v>Educación Secundaria Total</x:v>
      </x:c>
      <x:c r="BK3" s="28" t="str">
        <x:v>Educación Secundaria Hombres</x:v>
      </x:c>
      <x:c r="BL3" s="28" t="str">
        <x:v>Educación Secundaria Mujeres</x:v>
      </x:c>
      <x:c r="BM3" s="28" t="str">
        <x:v>Educación Superior Total</x:v>
      </x:c>
      <x:c r="BN3" s="28" t="str">
        <x:v>Educación Superior Hombres</x:v>
      </x:c>
      <x:c r="BO3" s="28" t="str">
        <x:v>Educación Superior Mujeres</x:v>
      </x:c>
      <x:c r="BP3" s="28" t="str">
        <x:v>Educación Sin Especificar Total</x:v>
      </x:c>
      <x:c r="BQ3" s="28" t="str">
        <x:v>Educación Sin Especificar Hombres</x:v>
      </x:c>
      <x:c r="BR3" s="28" t="str">
        <x:v>Educación Sin Especificar Mujeres</x:v>
      </x:c>
      <x:c r="BS3" s="28" t="str">
        <x:v>Ocupación Total 14 más Total</x:v>
      </x:c>
      <x:c r="BT3" s="28" t="str">
        <x:v>Ocupación Total 14 más Hombres</x:v>
      </x:c>
      <x:c r="BU3" s="28" t="str">
        <x:v>Ocupación Total 14 más Mujeres</x:v>
      </x:c>
      <x:c r="BV3" s="28" t="str">
        <x:v>Ocupación Empleado Obrero Total</x:v>
      </x:c>
      <x:c r="BW3" s="28" t="str">
        <x:v>Ocupación Empleado Obrero Hombres</x:v>
      </x:c>
      <x:c r="BX3" s="28" t="str">
        <x:v>Ocupación Empleado Obrero Mujeres</x:v>
      </x:c>
      <x:c r="BY3" s="28" t="str">
        <x:v>Ocupación Cuenta Propia Total</x:v>
      </x:c>
      <x:c r="BZ3" s="28" t="str">
        <x:v>Ocupación Cuenta Propia Hombres</x:v>
      </x:c>
      <x:c r="CA3" s="28" t="str">
        <x:v>Ocupación Cuenta Propia Mujeres</x:v>
      </x:c>
      <x:c r="CB3" s="28" t="str">
        <x:v>Ocupación Otros Total</x:v>
      </x:c>
      <x:c r="CC3" s="28" t="str">
        <x:v>Ocupación Otros Hombres</x:v>
      </x:c>
      <x:c r="CD3" s="28" t="str">
        <x:v>Ocupación Otros Mujeres</x:v>
      </x:c>
      <x:c r="CE3" s="28" t="str">
        <x:v>Ocupación Sin Especificar Total</x:v>
      </x:c>
      <x:c r="CF3" s="28" t="str">
        <x:v>Ocupación Sin Especificar Hombres</x:v>
      </x:c>
      <x:c r="CG3" s="28" t="str">
        <x:v>Ocupación Sin Especificar Mujeres</x:v>
      </x:c>
      <x:c r="CH3" s="28" t="str">
        <x:v>Salud Acude Total Total</x:v>
      </x:c>
      <x:c r="CI3" s="28" t="str">
        <x:v>Salud Acude Total Hombres</x:v>
      </x:c>
      <x:c r="CJ3" s="28" t="str">
        <x:v>Salud Acude Total Mujeres</x:v>
      </x:c>
      <x:c r="CK3" s="28" t="str">
        <x:v>Salud Acude Publico Total</x:v>
      </x:c>
      <x:c r="CL3" s="28" t="str">
        <x:v>Salud Acude Publico Hombres</x:v>
      </x:c>
      <x:c r="CM3" s="28" t="str">
        <x:v>Salud Acude Publico Mujeres</x:v>
      </x:c>
      <x:c r="CN3" s="28" t="str">
        <x:v>Salud Acude Caja Salud Total</x:v>
      </x:c>
      <x:c r="CO3" s="28" t="str">
        <x:v>Salud Acude Caja Salud Hombres</x:v>
      </x:c>
      <x:c r="CP3" s="28" t="str">
        <x:v>Salud Acude Caja Salud Mujeres</x:v>
      </x:c>
      <x:c r="CQ3" s="28" t="str">
        <x:v>Salud Acude Privado Total</x:v>
      </x:c>
      <x:c r="CR3" s="28" t="str">
        <x:v>Salud Acude Privado Hombres</x:v>
      </x:c>
      <x:c r="CS3" s="28" t="str">
        <x:v>Salud Acude Privado Mujeres</x:v>
      </x:c>
      <x:c r="CT3" s="28" t="str">
        <x:v>Salud Acude Domicilio Total</x:v>
      </x:c>
      <x:c r="CU3" s="28" t="str">
        <x:v>Salud Acude Domicilio Hombres</x:v>
      </x:c>
      <x:c r="CV3" s="28" t="str">
        <x:v>Salud Acude Domicilio Mujeres</x:v>
      </x:c>
      <x:c r="CW3" s="28" t="str">
        <x:v>Salud Acude Medicina Tradicional Total</x:v>
      </x:c>
      <x:c r="CX3" s="28" t="str">
        <x:v>Salud Acude Medicina Tradicional Hombres</x:v>
      </x:c>
      <x:c r="CY3" s="28" t="str">
        <x:v>Salud Acude Medicina Tradicional Mujeres</x:v>
      </x:c>
      <x:c r="CZ3" s="28" t="str">
        <x:v>Salud Acude Farmacia Automedicacion Total</x:v>
      </x:c>
      <x:c r="DA3" s="28" t="str">
        <x:v>Salud Acude Farmacia Automedicacion Hombres</x:v>
      </x:c>
      <x:c r="DB3" s="28" t="str">
        <x:v>Salud Acude Farmacia Automedicacion Mujeres</x:v>
      </x:c>
      <x:c r="DC3" s="28" t="str">
        <x:v>Salud Acude Remedios Caseros Total</x:v>
      </x:c>
      <x:c r="DD3" s="28" t="str">
        <x:v>Salud Acude Remedios Caseros Hombres</x:v>
      </x:c>
      <x:c r="DE3" s="28" t="str">
        <x:v>Salud Acude Remedios Caseros Mujeres</x:v>
      </x:c>
      <x:c r="DF3" s="28" t="str">
        <x:v>Actividad Total 14 más Total</x:v>
      </x:c>
      <x:c r="DG3" s="28" t="str">
        <x:v>Actividad Total 14 más Hombres</x:v>
      </x:c>
      <x:c r="DH3" s="28" t="str">
        <x:v>Actividad Total 14 más Mujeres</x:v>
      </x:c>
      <x:c r="DI3" s="28" t="str">
        <x:v>Actividad Agricultura Total</x:v>
      </x:c>
      <x:c r="DJ3" s="28" t="str">
        <x:v>Actividad Agricultura Hombres</x:v>
      </x:c>
      <x:c r="DK3" s="28" t="str">
        <x:v>Actividad Agricultura Mujeres</x:v>
      </x:c>
      <x:c r="DL3" s="28" t="str">
        <x:v>Actividad Comercio Total</x:v>
      </x:c>
      <x:c r="DM3" s="28" t="str">
        <x:v>Actividad Comercio Hombres</x:v>
      </x:c>
      <x:c r="DN3" s="28" t="str">
        <x:v>Actividad Comercio Mujeres</x:v>
      </x:c>
      <x:c r="DO3" s="28" t="str">
        <x:v>Actividad Manufactura Total</x:v>
      </x:c>
      <x:c r="DP3" s="28" t="str">
        <x:v>Actividad Manufactura Hombres</x:v>
      </x:c>
      <x:c r="DQ3" s="28" t="str">
        <x:v>Actividad Manufactura Mujeres</x:v>
      </x:c>
      <x:c r="DR3" s="28" t="str">
        <x:v>Actividad Construccion Total</x:v>
      </x:c>
      <x:c r="DS3" s="28" t="str">
        <x:v>Actividad Construccion Hombres</x:v>
      </x:c>
      <x:c r="DT3" s="28" t="str">
        <x:v>Actividad Construccion Mujeres</x:v>
      </x:c>
      <x:c r="DU3" s="28" t="str">
        <x:v>Actividad Transporte Total</x:v>
      </x:c>
      <x:c r="DV3" s="28" t="str">
        <x:v>Actividad Transporte Hombres</x:v>
      </x:c>
      <x:c r="DW3" s="28" t="str">
        <x:v>Actividad Transporte Mujeres</x:v>
      </x:c>
      <x:c r="DX3" s="28" t="str">
        <x:v>Actividad Alojamiento Comidas Total</x:v>
      </x:c>
      <x:c r="DY3" s="28" t="str">
        <x:v>Actividad Alojamiento Comidas Hombres</x:v>
      </x:c>
      <x:c r="DZ3" s="28" t="str">
        <x:v>Actividad Alojamiento Comidas Mujeres</x:v>
      </x:c>
      <x:c r="EA3" s="28" t="str">
        <x:v>Actividad Enseñanza Total</x:v>
      </x:c>
      <x:c r="EB3" s="28" t="str">
        <x:v>Actividad Enseñanza Hombres</x:v>
      </x:c>
      <x:c r="EC3" s="28" t="str">
        <x:v>Actividad Enseñanza Mujeres</x:v>
      </x:c>
      <x:c r="ED3" s="28" t="str">
        <x:v>Actividad Salud Asistencia Total</x:v>
      </x:c>
      <x:c r="EE3" s="28" t="str">
        <x:v>Actividad Salud Asistencia Hombres</x:v>
      </x:c>
      <x:c r="EF3" s="28" t="str">
        <x:v>Actividad Salud Asistencia Mujeres</x:v>
      </x:c>
      <x:c r="EG3" s="28" t="str">
        <x:v>Actividad Otras Total</x:v>
      </x:c>
      <x:c r="EH3" s="28" t="str">
        <x:v>Actividad Otras Hombres</x:v>
      </x:c>
      <x:c r="EI3" s="28" t="str">
        <x:v>Actividad Otras Mujeres</x:v>
      </x:c>
      <x:c r="EJ3" s="28" t="str">
        <x:v>Actividad Sin Especificar Total</x:v>
      </x:c>
      <x:c r="EK3" s="28" t="str">
        <x:v>Actividad Sin Especificar Hombres</x:v>
      </x:c>
      <x:c r="EL3" s="28" t="str">
        <x:v>Actividad Sin Especificar Mujeres</x:v>
      </x:c>
      <x:c r="EM3" s="28" t="str">
        <x:v>Seguro Salud Total Total</x:v>
      </x:c>
      <x:c r="EN3" s="28" t="str">
        <x:v>Seguro Salud Total Hombres</x:v>
      </x:c>
      <x:c r="EO3" s="28" t="str">
        <x:v>Seguro Salud Total Mujeres</x:v>
      </x:c>
      <x:c r="EP3" s="28" t="str">
        <x:v>Seguro Salud Sus Total</x:v>
      </x:c>
      <x:c r="EQ3" s="28" t="str">
        <x:v>Seguro Salud Sus Hombres</x:v>
      </x:c>
      <x:c r="ER3" s="28" t="str">
        <x:v>Seguro Salud Sus Mujeres</x:v>
      </x:c>
      <x:c r="ES3" s="28" t="str">
        <x:v>Seguro Salud Caja Salud Total</x:v>
      </x:c>
      <x:c r="ET3" s="28" t="str">
        <x:v>Seguro Salud Caja Salud Hombres</x:v>
      </x:c>
      <x:c r="EU3" s="28" t="str">
        <x:v>Seguro Salud Caja Salud Mujeres</x:v>
      </x:c>
      <x:c r="EV3" s="28" t="str">
        <x:v>Seguro Salud Seguro Privado Total</x:v>
      </x:c>
      <x:c r="EW3" s="28" t="str">
        <x:v>Seguro Salud Seguro Privado Hombres</x:v>
      </x:c>
      <x:c r="EX3" s="28" t="str">
        <x:v>Seguro Salud Seguro Privado Mujeres</x:v>
      </x:c>
      <x:c r="EY3" s="28" t="str">
        <x:v>Seguro Salud Ninguno Total</x:v>
      </x:c>
      <x:c r="EZ3" s="28" t="str">
        <x:v>Seguro Salud Ninguno Hombres</x:v>
      </x:c>
      <x:c r="FA3" s="28" t="str">
        <x:v>Seguro Salud Ninguno Mujeres</x:v>
      </x:c>
      <x:c r="FB3" s="28" t="str">
        <x:v>Seguro Salud Sin Especificar Total</x:v>
      </x:c>
      <x:c r="FC3" s="28" t="str">
        <x:v>Seguro Salud Sin Especificar Hombres</x:v>
      </x:c>
      <x:c r="FD3" s="28" t="str">
        <x:v>Seguro Salud Sin Especificar Mujeres</x:v>
      </x:c>
      <x:c r="FE3" s="28" t="str">
        <x:v>Vivienda Total</x:v>
      </x:c>
      <x:c r="FF3" s="28" t="str">
        <x:v>Vivienda Particulares</x:v>
      </x:c>
      <x:c r="FG3" s="28" t="str">
        <x:v>Vivienda Personas Presentes</x:v>
      </x:c>
      <x:c r="FH3" s="28" t="str">
        <x:v>Vivienda Temporalmente Ausentes</x:v>
      </x:c>
      <x:c r="FI3" s="28" t="str">
        <x:v>Vivienda Desocupadas</x:v>
      </x:c>
      <x:c r="FJ3" s="28" t="str">
        <x:v>Vivienda Colectivas</x:v>
      </x:c>
      <x:c r="FK3" s="28" t="str">
        <x:v>Tenencia Total</x:v>
      </x:c>
      <x:c r="FL3" s="28" t="str">
        <x:v>Tenencia Propia</x:v>
      </x:c>
      <x:c r="FM3" s="28" t="str">
        <x:v>Tenencia Alquilada</x:v>
      </x:c>
      <x:c r="FN3" s="28" t="str">
        <x:v>Tenencia anticrético Mixto</x:v>
      </x:c>
      <x:c r="FO3" s="28" t="str">
        <x:v>Tenencia Cedida Prestada</x:v>
      </x:c>
      <x:c r="FP3" s="28" t="str">
        <x:v>Tenencia Otra</x:v>
      </x:c>
      <x:c r="FQ3" s="28" t="str">
        <x:v>Electricidad Total</x:v>
      </x:c>
      <x:c r="FR3" s="28" t="str">
        <x:v>Electricidad Servicio Publico</x:v>
      </x:c>
      <x:c r="FS3" s="28" t="str">
        <x:v>Electricidad Motor Propio</x:v>
      </x:c>
      <x:c r="FT3" s="28" t="str">
        <x:v>Electricidad Panel Solar</x:v>
      </x:c>
      <x:c r="FU3" s="28" t="str">
        <x:v>Electricidad Otra</x:v>
      </x:c>
      <x:c r="FV3" s="28" t="str">
        <x:v>Electricidad No Tiene</x:v>
      </x:c>
      <x:c r="FW3" s="28" t="str">
        <x:v>Agua Total</x:v>
      </x:c>
      <x:c r="FX3" s="28" t="str">
        <x:v>Agua Red</x:v>
      </x:c>
      <x:c r="FY3" s="28" t="str">
        <x:v>Agua Pileta Publica</x:v>
      </x:c>
      <x:c r="FZ3" s="28" t="str">
        <x:v>Agua Carro Repartidor</x:v>
      </x:c>
      <x:c r="GA3" s="28" t="str">
        <x:v>Agua Pozo Bomba</x:v>
      </x:c>
      <x:c r="GB3" s="28" t="str">
        <x:v>Agua Pozo Sin Bomba</x:v>
      </x:c>
      <x:c r="GC3" s="28" t="str">
        <x:v>Agua río Vertiente No Protegida</x:v>
      </x:c>
      <x:c r="GD3" s="28" t="str">
        <x:v>Agua Vertiente Protegida</x:v>
      </x:c>
      <x:c r="GE3" s="28" t="str">
        <x:v>Agua Lluvia</x:v>
      </x:c>
      <x:c r="GF3" s="28" t="str">
        <x:v>Agua Otra</x:v>
      </x:c>
      <x:c r="GG3" s="28" t="str">
        <x:v>Saneamiento Total</x:v>
      </x:c>
      <x:c r="GH3" s="28" t="str">
        <x:v>Saneamiento Alcantarillado</x:v>
      </x:c>
      <x:c r="GI3" s="28" t="str">
        <x:v>Saneamiento cámara Septica</x:v>
      </x:c>
      <x:c r="GJ3" s="28" t="str">
        <x:v>Saneamiento Pozo Ciego</x:v>
      </x:c>
      <x:c r="GK3" s="28" t="str">
        <x:v>Saneamiento Superficie</x:v>
      </x:c>
      <x:c r="GL3" s="28" t="str">
        <x:v>Saneamiento Pozo Absorcion</x:v>
      </x:c>
      <x:c r="GM3" s="28" t="str">
        <x:v>Saneamiento baño Ecologico</x:v>
      </x:c>
      <x:c r="GN3" s="28" t="str">
        <x:v>Saneamiento No Tiene</x:v>
      </x:c>
      <x:c r="GO3" s="28" t="str">
        <x:v>Cocina Total</x:v>
      </x:c>
      <x:c r="GP3" s="28" t="str">
        <x:v>Cocina Gas Garrafa</x:v>
      </x:c>
      <x:c r="GQ3" s="28" t="str">
        <x:v>Cocina Gas cañería</x:v>
      </x:c>
      <x:c r="GR3" s="28" t="str">
        <x:v>Cocina leña</x:v>
      </x:c>
      <x:c r="GS3" s="28" t="str">
        <x:v>Cocina Guano Bosta</x:v>
      </x:c>
      <x:c r="GT3" s="28" t="str">
        <x:v>Cocina Electricidad</x:v>
      </x:c>
      <x:c r="GU3" s="28" t="str">
        <x:v>Cocina Solar</x:v>
      </x:c>
      <x:c r="GV3" s="28" t="str">
        <x:v>Cocina Otro</x:v>
      </x:c>
      <x:c r="GW3" s="28" t="str">
        <x:v>Cocina No Cocina</x:v>
      </x:c>
      <x:c r="GX3" s="28" t="str">
        <x:v>Basura Total</x:v>
      </x:c>
      <x:c r="GY3" s="28" t="str">
        <x:v>Basura Contenedor</x:v>
      </x:c>
      <x:c r="GZ3" s="28" t="str">
        <x:v>Basura Carro Basurero</x:v>
      </x:c>
      <x:c r="HA3" s="28" t="str">
        <x:v>Basura Terreno Calle</x:v>
      </x:c>
      <x:c r="HB3" s="28" t="str">
        <x:v>Basura río</x:v>
      </x:c>
      <x:c r="HC3" s="28" t="str">
        <x:v>Basura Quema</x:v>
      </x:c>
      <x:c r="HD3" s="28" t="str">
        <x:v>Basura Entierra</x:v>
      </x:c>
      <x:c r="HE3" s="28" t="str">
        <x:v>Basura Otra</x:v>
      </x:c>
      <x:c r="HF3" s="28" t="str">
        <x:v>Tic Total Hogares</x:v>
      </x:c>
      <x:c r="HG3" s="28" t="str">
        <x:v>Tic Radio</x:v>
      </x:c>
      <x:c r="HH3" s="28" t="str">
        <x:v>Tic Televisor</x:v>
      </x:c>
      <x:c r="HI3" s="28" t="str">
        <x:v>Tic Celular</x:v>
      </x:c>
      <x:c r="HJ3" s="28" t="str">
        <x:v>Tic Internet</x:v>
      </x:c>
      <x:c r="HK3" s="28" t="str">
        <x:v>Archivo PDF</x:v>
      </x:c>
      <x:c r="HL3" s="28" t="str">
        <x:v>Fuente</x:v>
      </x:c>
    </x:row>
    <x:row r="4" ht="20" customHeight="1">
      <x:c r="A4" s="30" t="str">
        <x:v>AP-0201</x:v>
      </x:c>
      <x:c r="B4" s="30" t="str">
        <x:v>Tunari</x:v>
      </x:c>
      <x:c r="C4" s="30" t="n">
        <x:v>7</x:v>
      </x:c>
      <x:c r="D4" s="30" t="str">
        <x:v>Sí</x:v>
      </x:c>
      <x:c r="E4" s="30" t="str">
        <x:v>COCHABAMBA</x:v>
      </x:c>
      <x:c r="F4" s="30" t="str">
        <x:v>AYOPAYA, QUILLACOLLO, CHAPARE, MÁS 2 PROVINCIAS</x:v>
      </x:c>
      <x:c r="G4" s="30" t="str">
        <x:v>AYOPAYA, MOROCHATA, COCAPATA, MÁS 9</x:v>
      </x:c>
      <x:c r="H4" s="30" t="n">
        <x:v>83369</x:v>
      </x:c>
      <x:c r="I4" s="30" t="n">
        <x:v>41522</x:v>
      </x:c>
      <x:c r="J4" s="30" t="n">
        <x:v>41847</x:v>
      </x:c>
      <x:c r="K4" s="30" t="n">
        <x:v>33132</x:v>
      </x:c>
      <x:c r="L4" s="30" t="n">
        <x:v>16895</x:v>
      </x:c>
      <x:c r="M4" s="30" t="n">
        <x:v>16237</x:v>
      </x:c>
      <x:c r="N4" s="30" t="n">
        <x:v>25122</x:v>
      </x:c>
      <x:c r="O4" s="30" t="n">
        <x:v>12470</x:v>
      </x:c>
      <x:c r="P4" s="30" t="n">
        <x:v>12652</x:v>
      </x:c>
      <x:c r="Q4" s="30" t="n">
        <x:v>15779</x:v>
      </x:c>
      <x:c r="R4" s="30" t="n">
        <x:v>7787</x:v>
      </x:c>
      <x:c r="S4" s="30" t="n">
        <x:v>7992</x:v>
      </x:c>
      <x:c r="T4" s="30" t="n">
        <x:v>9336</x:v>
      </x:c>
      <x:c r="U4" s="30" t="n">
        <x:v>4370</x:v>
      </x:c>
      <x:c r="V4" s="30" t="n">
        <x:v>4966</x:v>
      </x:c>
      <x:c r="W4" s="30" t="n">
        <x:v>83369</x:v>
      </x:c>
      <x:c r="X4" s="30" t="n">
        <x:v>41522</x:v>
      </x:c>
      <x:c r="Y4" s="30" t="n">
        <x:v>41847</x:v>
      </x:c>
      <x:c r="Z4" s="30" t="n">
        <x:v>61367</x:v>
      </x:c>
      <x:c r="AA4" s="30" t="n">
        <x:v>31321</x:v>
      </x:c>
      <x:c r="AB4" s="30" t="n">
        <x:v>30046</x:v>
      </x:c>
      <x:c r="AC4" s="30" t="n">
        <x:v>20545</x:v>
      </x:c>
      <x:c r="AD4" s="30" t="n">
        <x:v>9431</x:v>
      </x:c>
      <x:c r="AE4" s="30" t="n">
        <x:v>11114</x:v>
      </x:c>
      <x:c r="AF4" s="30" t="n">
        <x:v>571</x:v>
      </x:c>
      <x:c r="AG4" s="30" t="n">
        <x:v>316</x:v>
      </x:c>
      <x:c r="AH4" s="30" t="n">
        <x:v>255</x:v>
      </x:c>
      <x:c r="AI4" s="30" t="n">
        <x:v>886</x:v>
      </x:c>
      <x:c r="AJ4" s="30" t="n">
        <x:v>454</x:v>
      </x:c>
      <x:c r="AK4" s="30" t="n">
        <x:v>432</x:v>
      </x:c>
      <x:c r="AL4" s="30" t="n">
        <x:v>83369</x:v>
      </x:c>
      <x:c r="AM4" s="30" t="n">
        <x:v>41522</x:v>
      </x:c>
      <x:c r="AN4" s="30" t="n">
        <x:v>41847</x:v>
      </x:c>
      <x:c r="AO4" s="30" t="n">
        <x:v>80407</x:v>
      </x:c>
      <x:c r="AP4" s="30" t="n">
        <x:v>39994</x:v>
      </x:c>
      <x:c r="AQ4" s="30" t="n">
        <x:v>40413</x:v>
      </x:c>
      <x:c r="AR4" s="30" t="n">
        <x:v>2354</x:v>
      </x:c>
      <x:c r="AS4" s="30" t="n">
        <x:v>1213</x:v>
      </x:c>
      <x:c r="AT4" s="30" t="n">
        <x:v>1141</x:v>
      </x:c>
      <x:c r="AU4" s="30" t="n">
        <x:v>66</x:v>
      </x:c>
      <x:c r="AV4" s="30" t="n">
        <x:v>36</x:v>
      </x:c>
      <x:c r="AW4" s="30" t="n">
        <x:v>30</x:v>
      </x:c>
      <x:c r="AX4" s="30" t="n">
        <x:v>542</x:v>
      </x:c>
      <x:c r="AY4" s="30" t="n">
        <x:v>279</x:v>
      </x:c>
      <x:c r="AZ4" s="30" t="n">
        <x:v>263</x:v>
      </x:c>
      <x:c r="BA4" s="30" t="n">
        <x:v>51258</x:v>
      </x:c>
      <x:c r="BB4" s="30" t="n">
        <x:v>25092</x:v>
      </x:c>
      <x:c r="BC4" s="30" t="n">
        <x:v>26166</x:v>
      </x:c>
      <x:c r="BD4" s="30" t="n">
        <x:v>4945</x:v>
      </x:c>
      <x:c r="BE4" s="30" t="n">
        <x:v>1188</x:v>
      </x:c>
      <x:c r="BF4" s="30" t="n">
        <x:v>3757</x:v>
      </x:c>
      <x:c r="BG4" s="30" t="n">
        <x:v>18839</x:v>
      </x:c>
      <x:c r="BH4" s="30" t="n">
        <x:v>9065</x:v>
      </x:c>
      <x:c r="BI4" s="30" t="n">
        <x:v>9774</x:v>
      </x:c>
      <x:c r="BJ4" s="30" t="n">
        <x:v>17657</x:v>
      </x:c>
      <x:c r="BK4" s="30" t="n">
        <x:v>10130</x:v>
      </x:c>
      <x:c r="BL4" s="30" t="n">
        <x:v>7527</x:v>
      </x:c>
      <x:c r="BM4" s="30" t="n">
        <x:v>9556</x:v>
      </x:c>
      <x:c r="BN4" s="30" t="n">
        <x:v>4603</x:v>
      </x:c>
      <x:c r="BO4" s="30" t="n">
        <x:v>4953</x:v>
      </x:c>
      <x:c r="BP4" s="30" t="n">
        <x:v>261</x:v>
      </x:c>
      <x:c r="BQ4" s="30" t="n">
        <x:v>106</x:v>
      </x:c>
      <x:c r="BR4" s="30" t="n">
        <x:v>155</x:v>
      </x:c>
      <x:c r="BS4" s="30" t="n">
        <x:v>45258</x:v>
      </x:c>
      <x:c r="BT4" s="30" t="n">
        <x:v>24212</x:v>
      </x:c>
      <x:c r="BU4" s="30" t="n">
        <x:v>21046</x:v>
      </x:c>
      <x:c r="BV4" s="30" t="n">
        <x:v>8709</x:v>
      </x:c>
      <x:c r="BW4" s="30" t="n">
        <x:v>5110</x:v>
      </x:c>
      <x:c r="BX4" s="30" t="n">
        <x:v>3599</x:v>
      </x:c>
      <x:c r="BY4" s="30" t="n">
        <x:v>26841</x:v>
      </x:c>
      <x:c r="BZ4" s="30" t="n">
        <x:v>14791</x:v>
      </x:c>
      <x:c r="CA4" s="30" t="n">
        <x:v>12050</x:v>
      </x:c>
      <x:c r="CB4" s="30" t="n">
        <x:v>4931</x:v>
      </x:c>
      <x:c r="CC4" s="30" t="n">
        <x:v>1785</x:v>
      </x:c>
      <x:c r="CD4" s="30" t="n">
        <x:v>3146</x:v>
      </x:c>
      <x:c r="CE4" s="30" t="n">
        <x:v>4777</x:v>
      </x:c>
      <x:c r="CF4" s="30" t="n">
        <x:v>2526</x:v>
      </x:c>
      <x:c r="CG4" s="30" t="n">
        <x:v>2251</x:v>
      </x:c>
      <x:c r="CH4" s="30" t="n">
        <x:v>83369</x:v>
      </x:c>
      <x:c r="CI4" s="30" t="n">
        <x:v>41522</x:v>
      </x:c>
      <x:c r="CJ4" s="30" t="n">
        <x:v>41847</x:v>
      </x:c>
      <x:c r="CK4" s="30" t="n">
        <x:v>64269</x:v>
      </x:c>
      <x:c r="CL4" s="30" t="n">
        <x:v>31432</x:v>
      </x:c>
      <x:c r="CM4" s="30" t="n">
        <x:v>32837</x:v>
      </x:c>
      <x:c r="CN4" s="30" t="n">
        <x:v>10176</x:v>
      </x:c>
      <x:c r="CO4" s="30" t="n">
        <x:v>5037</x:v>
      </x:c>
      <x:c r="CP4" s="30" t="n">
        <x:v>5139</x:v>
      </x:c>
      <x:c r="CQ4" s="30" t="n">
        <x:v>16148</x:v>
      </x:c>
      <x:c r="CR4" s="30" t="n">
        <x:v>7858</x:v>
      </x:c>
      <x:c r="CS4" s="30" t="n">
        <x:v>8290</x:v>
      </x:c>
      <x:c r="CT4" s="30" t="n">
        <x:v>8822</x:v>
      </x:c>
      <x:c r="CU4" s="30" t="n">
        <x:v>4307</x:v>
      </x:c>
      <x:c r="CV4" s="30" t="n">
        <x:v>4515</x:v>
      </x:c>
      <x:c r="CW4" s="30" t="n">
        <x:v>21573</x:v>
      </x:c>
      <x:c r="CX4" s="30" t="n">
        <x:v>10809</x:v>
      </x:c>
      <x:c r="CY4" s="30" t="n">
        <x:v>10764</x:v>
      </x:c>
      <x:c r="CZ4" s="30" t="n">
        <x:v>41314</x:v>
      </x:c>
      <x:c r="DA4" s="30" t="n">
        <x:v>20439</x:v>
      </x:c>
      <x:c r="DB4" s="30" t="n">
        <x:v>20875</x:v>
      </x:c>
      <x:c r="DC4" s="30" t="n">
        <x:v>59292</x:v>
      </x:c>
      <x:c r="DD4" s="30" t="n">
        <x:v>28988</x:v>
      </x:c>
      <x:c r="DE4" s="30" t="n">
        <x:v>30304</x:v>
      </x:c>
      <x:c r="DF4" s="30" t="n">
        <x:v>45258</x:v>
      </x:c>
      <x:c r="DG4" s="30" t="n">
        <x:v>24212</x:v>
      </x:c>
      <x:c r="DH4" s="30" t="n">
        <x:v>21046</x:v>
      </x:c>
      <x:c r="DI4" s="30" t="n">
        <x:v>25726</x:v>
      </x:c>
      <x:c r="DJ4" s="30" t="n">
        <x:v>13799</x:v>
      </x:c>
      <x:c r="DK4" s="30" t="n">
        <x:v>11927</x:v>
      </x:c>
      <x:c r="DL4" s="30" t="n">
        <x:v>4738</x:v>
      </x:c>
      <x:c r="DM4" s="30" t="n">
        <x:v>1718</x:v>
      </x:c>
      <x:c r="DN4" s="30" t="n">
        <x:v>3020</x:v>
      </x:c>
      <x:c r="DO4" s="30" t="n">
        <x:v>2186</x:v>
      </x:c>
      <x:c r="DP4" s="30" t="n">
        <x:v>1187</x:v>
      </x:c>
      <x:c r="DQ4" s="30" t="n">
        <x:v>999</x:v>
      </x:c>
      <x:c r="DR4" s="30" t="n">
        <x:v>2636</x:v>
      </x:c>
      <x:c r="DS4" s="30" t="n">
        <x:v>2545</x:v>
      </x:c>
      <x:c r="DT4" s="30" t="n">
        <x:v>91</x:v>
      </x:c>
      <x:c r="DU4" s="30" t="n">
        <x:v>2188</x:v>
      </x:c>
      <x:c r="DV4" s="30" t="n">
        <x:v>2074</x:v>
      </x:c>
      <x:c r="DW4" s="30" t="n">
        <x:v>114</x:v>
      </x:c>
      <x:c r="DX4" s="30" t="n">
        <x:v>1548</x:v>
      </x:c>
      <x:c r="DY4" s="30" t="n">
        <x:v>384</x:v>
      </x:c>
      <x:c r="DZ4" s="30" t="n">
        <x:v>1164</x:v>
      </x:c>
      <x:c r="EA4" s="30" t="n">
        <x:v>767</x:v>
      </x:c>
      <x:c r="EB4" s="30" t="n">
        <x:v>277</x:v>
      </x:c>
      <x:c r="EC4" s="30" t="n">
        <x:v>490</x:v>
      </x:c>
      <x:c r="ED4" s="30" t="n">
        <x:v>827</x:v>
      </x:c>
      <x:c r="EE4" s="30" t="n">
        <x:v>212</x:v>
      </x:c>
      <x:c r="EF4" s="30" t="n">
        <x:v>615</x:v>
      </x:c>
      <x:c r="EG4" s="30" t="n">
        <x:v>3430</x:v>
      </x:c>
      <x:c r="EH4" s="30" t="n">
        <x:v>1633</x:v>
      </x:c>
      <x:c r="EI4" s="30" t="n">
        <x:v>1797</x:v>
      </x:c>
      <x:c r="EJ4" s="30" t="n">
        <x:v>1212</x:v>
      </x:c>
      <x:c r="EK4" s="30" t="n">
        <x:v>383</x:v>
      </x:c>
      <x:c r="EL4" s="30" t="n">
        <x:v>829</x:v>
      </x:c>
      <x:c r="EM4" s="30" t="n">
        <x:v>82761</x:v>
      </x:c>
      <x:c r="EN4" s="30" t="n">
        <x:v>41207</x:v>
      </x:c>
      <x:c r="EO4" s="30" t="n">
        <x:v>41554</x:v>
      </x:c>
      <x:c r="EP4" s="30" t="n">
        <x:v>65132</x:v>
      </x:c>
      <x:c r="EQ4" s="30" t="n">
        <x:v>31627</x:v>
      </x:c>
      <x:c r="ER4" s="30" t="n">
        <x:v>33505</x:v>
      </x:c>
      <x:c r="ES4" s="30" t="n">
        <x:v>5796</x:v>
      </x:c>
      <x:c r="ET4" s="30" t="n">
        <x:v>2866</x:v>
      </x:c>
      <x:c r="EU4" s="30" t="n">
        <x:v>2930</x:v>
      </x:c>
      <x:c r="EV4" s="30" t="n">
        <x:v>513</x:v>
      </x:c>
      <x:c r="EW4" s="30" t="n">
        <x:v>280</x:v>
      </x:c>
      <x:c r="EX4" s="30" t="n">
        <x:v>233</x:v>
      </x:c>
      <x:c r="EY4" s="30" t="n">
        <x:v>9935</x:v>
      </x:c>
      <x:c r="EZ4" s="30" t="n">
        <x:v>5717</x:v>
      </x:c>
      <x:c r="FA4" s="30" t="n">
        <x:v>4218</x:v>
      </x:c>
      <x:c r="FB4" s="30" t="n">
        <x:v>1385</x:v>
      </x:c>
      <x:c r="FC4" s="30" t="n">
        <x:v>717</x:v>
      </x:c>
      <x:c r="FD4" s="30" t="n">
        <x:v>668</x:v>
      </x:c>
      <x:c r="FE4" s="30" t="n">
        <x:v>35254</x:v>
      </x:c>
      <x:c r="FF4" s="30" t="n">
        <x:v>35229</x:v>
      </x:c>
      <x:c r="FG4" s="30" t="n">
        <x:v>27641</x:v>
      </x:c>
      <x:c r="FH4" s="30" t="n">
        <x:v>3620</x:v>
      </x:c>
      <x:c r="FI4" s="30" t="n">
        <x:v>3968</x:v>
      </x:c>
      <x:c r="FJ4" s="30" t="n">
        <x:v>25</x:v>
      </x:c>
      <x:c r="FK4" s="30" t="n">
        <x:v>27641</x:v>
      </x:c>
      <x:c r="FL4" s="30" t="n">
        <x:v>23752</x:v>
      </x:c>
      <x:c r="FM4" s="30" t="n">
        <x:v>1508</x:v>
      </x:c>
      <x:c r="FN4" s="30" t="n">
        <x:v>311</x:v>
      </x:c>
      <x:c r="FO4" s="30" t="n">
        <x:v>1649</x:v>
      </x:c>
      <x:c r="FP4" s="30" t="n">
        <x:v>421</x:v>
      </x:c>
      <x:c r="FQ4" s="30" t="n">
        <x:v>27641</x:v>
      </x:c>
      <x:c r="FR4" s="30" t="n">
        <x:v>18229</x:v>
      </x:c>
      <x:c r="FS4" s="30" t="n">
        <x:v>82</x:v>
      </x:c>
      <x:c r="FT4" s="30" t="n">
        <x:v>2147</x:v>
      </x:c>
      <x:c r="FU4" s="30" t="n">
        <x:v>437</x:v>
      </x:c>
      <x:c r="FV4" s="30" t="n">
        <x:v>6746</x:v>
      </x:c>
      <x:c r="FW4" s="30" t="n">
        <x:v>27641</x:v>
      </x:c>
      <x:c r="FX4" s="30" t="n">
        <x:v>10428</x:v>
      </x:c>
      <x:c r="FY4" s="30" t="n">
        <x:v>3938</x:v>
      </x:c>
      <x:c r="FZ4" s="30" t="n">
        <x:v>2872</x:v>
      </x:c>
      <x:c r="GA4" s="30" t="n">
        <x:v>685</x:v>
      </x:c>
      <x:c r="GB4" s="30" t="n">
        <x:v>919</x:v>
      </x:c>
      <x:c r="GC4" s="30" t="n">
        <x:v>3591</x:v>
      </x:c>
      <x:c r="GD4" s="30" t="n">
        <x:v>3603</x:v>
      </x:c>
      <x:c r="GE4" s="30" t="n">
        <x:v>795</x:v>
      </x:c>
      <x:c r="GF4" s="30" t="n">
        <x:v>810</x:v>
      </x:c>
      <x:c r="GG4" s="30" t="n">
        <x:v>27641</x:v>
      </x:c>
      <x:c r="GH4" s="30" t="n">
        <x:v>3648</x:v>
      </x:c>
      <x:c r="GI4" s="30" t="n">
        <x:v>2990</x:v>
      </x:c>
      <x:c r="GJ4" s="30" t="n">
        <x:v>9650</x:v>
      </x:c>
      <x:c r="GK4" s="30" t="n">
        <x:v>132</x:v>
      </x:c>
      <x:c r="GL4" s="30" t="n">
        <x:v>432</x:v>
      </x:c>
      <x:c r="GM4" s="30" t="n">
        <x:v>386</x:v>
      </x:c>
      <x:c r="GN4" s="30" t="n">
        <x:v>10403</x:v>
      </x:c>
      <x:c r="GO4" s="30" t="n">
        <x:v>27641</x:v>
      </x:c>
      <x:c r="GP4" s="30" t="n">
        <x:v>15464</x:v>
      </x:c>
      <x:c r="GQ4" s="30" t="n">
        <x:v>521</x:v>
      </x:c>
      <x:c r="GR4" s="30" t="n">
        <x:v>10640</x:v>
      </x:c>
      <x:c r="GS4" s="30" t="n">
        <x:v>759</x:v>
      </x:c>
      <x:c r="GT4" s="30" t="n">
        <x:v>24</x:v>
      </x:c>
      <x:c r="GU4" s="30" t="n">
        <x:v>6</x:v>
      </x:c>
      <x:c r="GV4" s="30" t="n">
        <x:v>37</x:v>
      </x:c>
      <x:c r="GW4" s="30" t="n">
        <x:v>190</x:v>
      </x:c>
      <x:c r="GX4" s="30" t="n">
        <x:v>27641</x:v>
      </x:c>
      <x:c r="GY4" s="30" t="n">
        <x:v>2210</x:v>
      </x:c>
      <x:c r="GZ4" s="30" t="n">
        <x:v>8110</x:v>
      </x:c>
      <x:c r="HA4" s="30" t="n">
        <x:v>304</x:v>
      </x:c>
      <x:c r="HB4" s="30" t="n">
        <x:v>504</x:v>
      </x:c>
      <x:c r="HC4" s="30" t="n">
        <x:v>15277</x:v>
      </x:c>
      <x:c r="HD4" s="30" t="n">
        <x:v>1026</x:v>
      </x:c>
      <x:c r="HE4" s="30" t="n">
        <x:v>210</x:v>
      </x:c>
      <x:c r="HF4" s="30" t="n">
        <x:v>27641</x:v>
      </x:c>
      <x:c r="HG4" s="30" t="n">
        <x:v>17526</x:v>
      </x:c>
      <x:c r="HH4" s="30" t="n">
        <x:v>13905</x:v>
      </x:c>
      <x:c r="HI4" s="30" t="n">
        <x:v>23281</x:v>
      </x:c>
      <x:c r="HJ4" s="30" t="n">
        <x:v>18108</x:v>
      </x:c>
      <x:c r="HK4" s="30" t="str">
        <x:v>Ficha_INE_Tunari.pdf</x:v>
      </x:c>
      <x:c r="HL4" s="30" t="str">
        <x:v>Instituto Nacional de Estadística, Censo de Población y Vivienda 2024</x:v>
      </x:c>
    </x:row>
    <x:row r="5" ht="20" customHeight="1">
      <x:c r="A5" s="31" t="str">
        <x:v>AP-0405</x:v>
      </x:c>
      <x:c r="B5" s="31" t="str">
        <x:v>Apolobamba</x:v>
      </x:c>
      <x:c r="C5" s="31" t="n">
        <x:v>9</x:v>
      </x:c>
      <x:c r="D5" s="31" t="str">
        <x:v>Sí</x:v>
      </x:c>
      <x:c r="E5" s="31" t="str">
        <x:v>LA PAZ</x:v>
      </x:c>
      <x:c r="F5" s="31" t="str">
        <x:v>FRANZ TAMAYO, MUÑECAS, BAUTISTA SAAVEDRA, MÁS 1 PROVINCIAS</x:v>
      </x:c>
      <x:c r="G5" s="31" t="str">
        <x:v>PELECHUCO, AYATA, CHARAZANI, MÁS 2</x:v>
      </x:c>
      <x:c r="H5" s="31" t="n">
        <x:v>33119</x:v>
      </x:c>
      <x:c r="I5" s="31" t="n">
        <x:v>18079</x:v>
      </x:c>
      <x:c r="J5" s="31" t="n">
        <x:v>15040</x:v>
      </x:c>
      <x:c r="K5" s="31" t="n">
        <x:v>12641</x:v>
      </x:c>
      <x:c r="L5" s="31" t="n">
        <x:v>6661</x:v>
      </x:c>
      <x:c r="M5" s="31" t="n">
        <x:v>5980</x:v>
      </x:c>
      <x:c r="N5" s="31" t="n">
        <x:v>11432</x:v>
      </x:c>
      <x:c r="O5" s="31" t="n">
        <x:v>6465</x:v>
      </x:c>
      <x:c r="P5" s="31" t="n">
        <x:v>4967</x:v>
      </x:c>
      <x:c r="Q5" s="31" t="n">
        <x:v>5981</x:v>
      </x:c>
      <x:c r="R5" s="31" t="n">
        <x:v>3402</x:v>
      </x:c>
      <x:c r="S5" s="31" t="n">
        <x:v>2579</x:v>
      </x:c>
      <x:c r="T5" s="31" t="n">
        <x:v>3065</x:v>
      </x:c>
      <x:c r="U5" s="31" t="n">
        <x:v>1551</x:v>
      </x:c>
      <x:c r="V5" s="31" t="n">
        <x:v>1514</x:v>
      </x:c>
      <x:c r="W5" s="31" t="n">
        <x:v>33119</x:v>
      </x:c>
      <x:c r="X5" s="31" t="n">
        <x:v>18079</x:v>
      </x:c>
      <x:c r="Y5" s="31" t="n">
        <x:v>15040</x:v>
      </x:c>
      <x:c r="Z5" s="31" t="n">
        <x:v>24813</x:v>
      </x:c>
      <x:c r="AA5" s="31" t="n">
        <x:v>13404</x:v>
      </x:c>
      <x:c r="AB5" s="31" t="n">
        <x:v>11409</x:v>
      </x:c>
      <x:c r="AC5" s="31" t="n">
        <x:v>7539</x:v>
      </x:c>
      <x:c r="AD5" s="31" t="n">
        <x:v>4225</x:v>
      </x:c>
      <x:c r="AE5" s="31" t="n">
        <x:v>3314</x:v>
      </x:c>
      <x:c r="AF5" s="31" t="n">
        <x:v>282</x:v>
      </x:c>
      <x:c r="AG5" s="31" t="n">
        <x:v>182</x:v>
      </x:c>
      <x:c r="AH5" s="31" t="n">
        <x:v>100</x:v>
      </x:c>
      <x:c r="AI5" s="31" t="n">
        <x:v>485</x:v>
      </x:c>
      <x:c r="AJ5" s="31" t="n">
        <x:v>268</x:v>
      </x:c>
      <x:c r="AK5" s="31" t="n">
        <x:v>217</x:v>
      </x:c>
      <x:c r="AL5" s="31" t="n">
        <x:v>33119</x:v>
      </x:c>
      <x:c r="AM5" s="31" t="n">
        <x:v>18079</x:v>
      </x:c>
      <x:c r="AN5" s="31" t="n">
        <x:v>15040</x:v>
      </x:c>
      <x:c r="AO5" s="31" t="n">
        <x:v>30879</x:v>
      </x:c>
      <x:c r="AP5" s="31" t="n">
        <x:v>16737</x:v>
      </x:c>
      <x:c r="AQ5" s="31" t="n">
        <x:v>14142</x:v>
      </x:c>
      <x:c r="AR5" s="31" t="n">
        <x:v>1808</x:v>
      </x:c>
      <x:c r="AS5" s="31" t="n">
        <x:v>1101</x:v>
      </x:c>
      <x:c r="AT5" s="31" t="n">
        <x:v>707</x:v>
      </x:c>
      <x:c r="AU5" s="31" t="n">
        <x:v>76</x:v>
      </x:c>
      <x:c r="AV5" s="31" t="n">
        <x:v>40</x:v>
      </x:c>
      <x:c r="AW5" s="31" t="n">
        <x:v>36</x:v>
      </x:c>
      <x:c r="AX5" s="31" t="n">
        <x:v>356</x:v>
      </x:c>
      <x:c r="AY5" s="31" t="n">
        <x:v>201</x:v>
      </x:c>
      <x:c r="AZ5" s="31" t="n">
        <x:v>155</x:v>
      </x:c>
      <x:c r="BA5" s="31" t="n">
        <x:v>20800</x:v>
      </x:c>
      <x:c r="BB5" s="31" t="n">
        <x:v>11582</x:v>
      </x:c>
      <x:c r="BC5" s="31" t="n">
        <x:v>9218</x:v>
      </x:c>
      <x:c r="BD5" s="31" t="n">
        <x:v>2256</x:v>
      </x:c>
      <x:c r="BE5" s="31" t="n">
        <x:v>662</x:v>
      </x:c>
      <x:c r="BF5" s="31" t="n">
        <x:v>1594</x:v>
      </x:c>
      <x:c r="BG5" s="31" t="n">
        <x:v>5383</x:v>
      </x:c>
      <x:c r="BH5" s="31" t="n">
        <x:v>2667</x:v>
      </x:c>
      <x:c r="BI5" s="31" t="n">
        <x:v>2716</x:v>
      </x:c>
      <x:c r="BJ5" s="31" t="n">
        <x:v>10819</x:v>
      </x:c>
      <x:c r="BK5" s="31" t="n">
        <x:v>6895</x:v>
      </x:c>
      <x:c r="BL5" s="31" t="n">
        <x:v>3924</x:v>
      </x:c>
      <x:c r="BM5" s="31" t="n">
        <x:v>2188</x:v>
      </x:c>
      <x:c r="BN5" s="31" t="n">
        <x:v>1295</x:v>
      </x:c>
      <x:c r="BO5" s="31" t="n">
        <x:v>893</x:v>
      </x:c>
      <x:c r="BP5" s="31" t="n">
        <x:v>154</x:v>
      </x:c>
      <x:c r="BQ5" s="31" t="n">
        <x:v>63</x:v>
      </x:c>
      <x:c r="BR5" s="31" t="n">
        <x:v>91</x:v>
      </x:c>
      <x:c r="BS5" s="31" t="n">
        <x:v>18006</x:v>
      </x:c>
      <x:c r="BT5" s="31" t="n">
        <x:v>10703</x:v>
      </x:c>
      <x:c r="BU5" s="31" t="n">
        <x:v>7303</x:v>
      </x:c>
      <x:c r="BV5" s="31" t="n">
        <x:v>2735</x:v>
      </x:c>
      <x:c r="BW5" s="31" t="n">
        <x:v>2136</x:v>
      </x:c>
      <x:c r="BX5" s="31" t="n">
        <x:v>599</x:v>
      </x:c>
      <x:c r="BY5" s="31" t="n">
        <x:v>9922</x:v>
      </x:c>
      <x:c r="BZ5" s="31" t="n">
        <x:v>5996</x:v>
      </x:c>
      <x:c r="CA5" s="31" t="n">
        <x:v>3926</x:v>
      </x:c>
      <x:c r="CB5" s="31" t="n">
        <x:v>2954</x:v>
      </x:c>
      <x:c r="CC5" s="31" t="n">
        <x:v>1216</x:v>
      </x:c>
      <x:c r="CD5" s="31" t="n">
        <x:v>1738</x:v>
      </x:c>
      <x:c r="CE5" s="31" t="n">
        <x:v>2395</x:v>
      </x:c>
      <x:c r="CF5" s="31" t="n">
        <x:v>1355</x:v>
      </x:c>
      <x:c r="CG5" s="31" t="n">
        <x:v>1040</x:v>
      </x:c>
      <x:c r="CH5" s="31" t="n">
        <x:v>33119</x:v>
      </x:c>
      <x:c r="CI5" s="31" t="n">
        <x:v>18079</x:v>
      </x:c>
      <x:c r="CJ5" s="31" t="n">
        <x:v>15040</x:v>
      </x:c>
      <x:c r="CK5" s="31" t="n">
        <x:v>26803</x:v>
      </x:c>
      <x:c r="CL5" s="31" t="n">
        <x:v>14506</x:v>
      </x:c>
      <x:c r="CM5" s="31" t="n">
        <x:v>12297</x:v>
      </x:c>
      <x:c r="CN5" s="31" t="n">
        <x:v>1826</x:v>
      </x:c>
      <x:c r="CO5" s="31" t="n">
        <x:v>1045</x:v>
      </x:c>
      <x:c r="CP5" s="31" t="n">
        <x:v>781</x:v>
      </x:c>
      <x:c r="CQ5" s="31" t="n">
        <x:v>3336</x:v>
      </x:c>
      <x:c r="CR5" s="31" t="n">
        <x:v>1874</x:v>
      </x:c>
      <x:c r="CS5" s="31" t="n">
        <x:v>1462</x:v>
      </x:c>
      <x:c r="CT5" s="31" t="n">
        <x:v>3885</x:v>
      </x:c>
      <x:c r="CU5" s="31" t="n">
        <x:v>2092</x:v>
      </x:c>
      <x:c r="CV5" s="31" t="n">
        <x:v>1793</x:v>
      </x:c>
      <x:c r="CW5" s="31" t="n">
        <x:v>16412</x:v>
      </x:c>
      <x:c r="CX5" s="31" t="n">
        <x:v>8958</x:v>
      </x:c>
      <x:c r="CY5" s="31" t="n">
        <x:v>7454</x:v>
      </x:c>
      <x:c r="CZ5" s="31" t="n">
        <x:v>10424</x:v>
      </x:c>
      <x:c r="DA5" s="31" t="n">
        <x:v>5803</x:v>
      </x:c>
      <x:c r="DB5" s="31" t="n">
        <x:v>4621</x:v>
      </x:c>
      <x:c r="DC5" s="31" t="n">
        <x:v>21061</x:v>
      </x:c>
      <x:c r="DD5" s="31" t="n">
        <x:v>11521</x:v>
      </x:c>
      <x:c r="DE5" s="31" t="n">
        <x:v>9540</x:v>
      </x:c>
      <x:c r="DF5" s="31" t="n">
        <x:v>18006</x:v>
      </x:c>
      <x:c r="DG5" s="31" t="n">
        <x:v>10703</x:v>
      </x:c>
      <x:c r="DH5" s="31" t="n">
        <x:v>7303</x:v>
      </x:c>
      <x:c r="DI5" s="31" t="n">
        <x:v>10760</x:v>
      </x:c>
      <x:c r="DJ5" s="31" t="n">
        <x:v>5852</x:v>
      </x:c>
      <x:c r="DK5" s="31" t="n">
        <x:v>4908</x:v>
      </x:c>
      <x:c r="DL5" s="31" t="n">
        <x:v>1578</x:v>
      </x:c>
      <x:c r="DM5" s="31" t="n">
        <x:v>765</x:v>
      </x:c>
      <x:c r="DN5" s="31" t="n">
        <x:v>813</x:v>
      </x:c>
      <x:c r="DO5" s="31" t="n">
        <x:v>833</x:v>
      </x:c>
      <x:c r="DP5" s="31" t="n">
        <x:v>436</x:v>
      </x:c>
      <x:c r="DQ5" s="31" t="n">
        <x:v>397</x:v>
      </x:c>
      <x:c r="DR5" s="31" t="n">
        <x:v>805</x:v>
      </x:c>
      <x:c r="DS5" s="31" t="n">
        <x:v>773</x:v>
      </x:c>
      <x:c r="DT5" s="31" t="n">
        <x:v>32</x:v>
      </x:c>
      <x:c r="DU5" s="31" t="n">
        <x:v>641</x:v>
      </x:c>
      <x:c r="DV5" s="31" t="n">
        <x:v>630</x:v>
      </x:c>
      <x:c r="DW5" s="31" t="n">
        <x:v>11</x:v>
      </x:c>
      <x:c r="DX5" s="31" t="n">
        <x:v>449</x:v>
      </x:c>
      <x:c r="DY5" s="31" t="n">
        <x:v>55</x:v>
      </x:c>
      <x:c r="DZ5" s="31" t="n">
        <x:v>394</x:v>
      </x:c>
      <x:c r="EA5" s="31" t="n">
        <x:v>152</x:v>
      </x:c>
      <x:c r="EB5" s="31" t="n">
        <x:v>90</x:v>
      </x:c>
      <x:c r="EC5" s="31" t="n">
        <x:v>62</x:v>
      </x:c>
      <x:c r="ED5" s="31" t="n">
        <x:v>212</x:v>
      </x:c>
      <x:c r="EE5" s="31" t="n">
        <x:v>117</x:v>
      </x:c>
      <x:c r="EF5" s="31" t="n">
        <x:v>95</x:v>
      </x:c>
      <x:c r="EG5" s="31" t="n">
        <x:v>2135</x:v>
      </x:c>
      <x:c r="EH5" s="31" t="n">
        <x:v>1768</x:v>
      </x:c>
      <x:c r="EI5" s="31" t="n">
        <x:v>367</x:v>
      </x:c>
      <x:c r="EJ5" s="31" t="n">
        <x:v>441</x:v>
      </x:c>
      <x:c r="EK5" s="31" t="n">
        <x:v>217</x:v>
      </x:c>
      <x:c r="EL5" s="31" t="n">
        <x:v>224</x:v>
      </x:c>
      <x:c r="EM5" s="31" t="n">
        <x:v>32687</x:v>
      </x:c>
      <x:c r="EN5" s="31" t="n">
        <x:v>17838</x:v>
      </x:c>
      <x:c r="EO5" s="31" t="n">
        <x:v>14849</x:v>
      </x:c>
      <x:c r="EP5" s="31" t="n">
        <x:v>23960</x:v>
      </x:c>
      <x:c r="EQ5" s="31" t="n">
        <x:v>12765</x:v>
      </x:c>
      <x:c r="ER5" s="31" t="n">
        <x:v>11195</x:v>
      </x:c>
      <x:c r="ES5" s="31" t="n">
        <x:v>747</x:v>
      </x:c>
      <x:c r="ET5" s="31" t="n">
        <x:v>407</x:v>
      </x:c>
      <x:c r="EU5" s="31" t="n">
        <x:v>340</x:v>
      </x:c>
      <x:c r="EV5" s="31" t="n">
        <x:v>215</x:v>
      </x:c>
      <x:c r="EW5" s="31" t="n">
        <x:v>137</x:v>
      </x:c>
      <x:c r="EX5" s="31" t="n">
        <x:v>78</x:v>
      </x:c>
      <x:c r="EY5" s="31" t="n">
        <x:v>6967</x:v>
      </x:c>
      <x:c r="EZ5" s="31" t="n">
        <x:v>4091</x:v>
      </x:c>
      <x:c r="FA5" s="31" t="n">
        <x:v>2876</x:v>
      </x:c>
      <x:c r="FB5" s="31" t="n">
        <x:v>798</x:v>
      </x:c>
      <x:c r="FC5" s="31" t="n">
        <x:v>438</x:v>
      </x:c>
      <x:c r="FD5" s="31" t="n">
        <x:v>360</x:v>
      </x:c>
      <x:c r="FE5" s="31" t="n">
        <x:v>12273</x:v>
      </x:c>
      <x:c r="FF5" s="31" t="n">
        <x:v>12111</x:v>
      </x:c>
      <x:c r="FG5" s="31" t="n">
        <x:v>10127</x:v>
      </x:c>
      <x:c r="FH5" s="31" t="n">
        <x:v>1481</x:v>
      </x:c>
      <x:c r="FI5" s="31" t="n">
        <x:v>503</x:v>
      </x:c>
      <x:c r="FJ5" s="31" t="n">
        <x:v>162</x:v>
      </x:c>
      <x:c r="FK5" s="31" t="n">
        <x:v>10127</x:v>
      </x:c>
      <x:c r="FL5" s="31" t="n">
        <x:v>8679</x:v>
      </x:c>
      <x:c r="FM5" s="31" t="n">
        <x:v>294</x:v>
      </x:c>
      <x:c r="FN5" s="31" t="n">
        <x:v>17</x:v>
      </x:c>
      <x:c r="FO5" s="31" t="n">
        <x:v>491</x:v>
      </x:c>
      <x:c r="FP5" s="31" t="n">
        <x:v>646</x:v>
      </x:c>
      <x:c r="FQ5" s="31" t="n">
        <x:v>10127</x:v>
      </x:c>
      <x:c r="FR5" s="31" t="n">
        <x:v>7722</x:v>
      </x:c>
      <x:c r="FS5" s="31" t="n">
        <x:v>104</x:v>
      </x:c>
      <x:c r="FT5" s="31" t="n">
        <x:v>244</x:v>
      </x:c>
      <x:c r="FU5" s="31" t="n">
        <x:v>86</x:v>
      </x:c>
      <x:c r="FV5" s="31" t="n">
        <x:v>1971</x:v>
      </x:c>
      <x:c r="FW5" s="31" t="n">
        <x:v>10127</x:v>
      </x:c>
      <x:c r="FX5" s="31" t="n">
        <x:v>5222</x:v>
      </x:c>
      <x:c r="FY5" s="31" t="n">
        <x:v>1469</x:v>
      </x:c>
      <x:c r="FZ5" s="31" t="n">
        <x:v>9</x:v>
      </x:c>
      <x:c r="GA5" s="31" t="n">
        <x:v>243</x:v>
      </x:c>
      <x:c r="GB5" s="31" t="n">
        <x:v>687</x:v>
      </x:c>
      <x:c r="GC5" s="31" t="n">
        <x:v>731</x:v>
      </x:c>
      <x:c r="GD5" s="31" t="n">
        <x:v>1052</x:v>
      </x:c>
      <x:c r="GE5" s="31" t="n">
        <x:v>388</x:v>
      </x:c>
      <x:c r="GF5" s="31" t="n">
        <x:v>326</x:v>
      </x:c>
      <x:c r="GG5" s="31" t="n">
        <x:v>10127</x:v>
      </x:c>
      <x:c r="GH5" s="31" t="n">
        <x:v>1822</x:v>
      </x:c>
      <x:c r="GI5" s="31" t="n">
        <x:v>202</x:v>
      </x:c>
      <x:c r="GJ5" s="31" t="n">
        <x:v>3320</x:v>
      </x:c>
      <x:c r="GK5" s="31" t="n">
        <x:v>197</x:v>
      </x:c>
      <x:c r="GL5" s="31" t="n">
        <x:v>60</x:v>
      </x:c>
      <x:c r="GM5" s="31" t="n">
        <x:v>108</x:v>
      </x:c>
      <x:c r="GN5" s="31" t="n">
        <x:v>4418</x:v>
      </x:c>
      <x:c r="GO5" s="31" t="n">
        <x:v>10127</x:v>
      </x:c>
      <x:c r="GP5" s="31" t="n">
        <x:v>5475</x:v>
      </x:c>
      <x:c r="GQ5" s="31" t="n">
        <x:v>24</x:v>
      </x:c>
      <x:c r="GR5" s="31" t="n">
        <x:v>3839</x:v>
      </x:c>
      <x:c r="GS5" s="31" t="n">
        <x:v>563</x:v>
      </x:c>
      <x:c r="GT5" s="31" t="n">
        <x:v>12</x:v>
      </x:c>
      <x:c r="GU5" s="31" t="n">
        <x:v>3</x:v>
      </x:c>
      <x:c r="GV5" s="31" t="n">
        <x:v>17</x:v>
      </x:c>
      <x:c r="GW5" s="31" t="n">
        <x:v>194</x:v>
      </x:c>
      <x:c r="GX5" s="31" t="n">
        <x:v>10127</x:v>
      </x:c>
      <x:c r="GY5" s="31" t="n">
        <x:v>1989</x:v>
      </x:c>
      <x:c r="GZ5" s="31" t="n">
        <x:v>365</x:v>
      </x:c>
      <x:c r="HA5" s="31" t="n">
        <x:v>827</x:v>
      </x:c>
      <x:c r="HB5" s="31" t="n">
        <x:v>390</x:v>
      </x:c>
      <x:c r="HC5" s="31" t="n">
        <x:v>4483</x:v>
      </x:c>
      <x:c r="HD5" s="31" t="n">
        <x:v>1797</x:v>
      </x:c>
      <x:c r="HE5" s="31" t="n">
        <x:v>276</x:v>
      </x:c>
      <x:c r="HF5" s="31" t="n">
        <x:v>10127</x:v>
      </x:c>
      <x:c r="HG5" s="31" t="n">
        <x:v>4733</x:v>
      </x:c>
      <x:c r="HH5" s="31" t="n">
        <x:v>4757</x:v>
      </x:c>
      <x:c r="HI5" s="31" t="n">
        <x:v>7970</x:v>
      </x:c>
      <x:c r="HJ5" s="31" t="n">
        <x:v>4393</x:v>
      </x:c>
      <x:c r="HK5" s="31" t="str">
        <x:v>Ficha_INE_Apolobamba.pdf</x:v>
      </x:c>
      <x:c r="HL5" s="31" t="str">
        <x:v>Instituto Nacional de Estadística, Censo de Población y Vivienda 2024</x:v>
      </x:c>
    </x:row>
    <x:row r="6" ht="20" customHeight="1">
      <x:c r="A6" s="31" t="str">
        <x:v>AP-0301</x:v>
      </x:c>
      <x:c r="B6" s="31" t="str">
        <x:v>Isiboro Securé</x:v>
      </x:c>
      <x:c r="C6" s="31" t="n">
        <x:v>8</x:v>
      </x:c>
      <x:c r="D6" s="31" t="str">
        <x:v>Sí</x:v>
      </x:c>
      <x:c r="E6" s="31" t="str">
        <x:v>COCHABAMBA, BENI</x:v>
      </x:c>
      <x:c r="F6" s="31" t="str">
        <x:v>CHAPARE, MOXOS, MARBÁN</x:v>
      </x:c>
      <x:c r="G6" s="31" t="str">
        <x:v>VILLA TUNARI, SAN IGNACIO, LORETO</x:v>
      </x:c>
      <x:c r="H6" s="31" t="n">
        <x:v>25736</x:v>
      </x:c>
      <x:c r="I6" s="31" t="n">
        <x:v>13622</x:v>
      </x:c>
      <x:c r="J6" s="31" t="n">
        <x:v>12114</x:v>
      </x:c>
      <x:c r="K6" s="31" t="n">
        <x:v>11785</x:v>
      </x:c>
      <x:c r="L6" s="31" t="n">
        <x:v>6046</x:v>
      </x:c>
      <x:c r="M6" s="31" t="n">
        <x:v>5739</x:v>
      </x:c>
      <x:c r="N6" s="31" t="n">
        <x:v>8487</x:v>
      </x:c>
      <x:c r="O6" s="31" t="n">
        <x:v>4487</x:v>
      </x:c>
      <x:c r="P6" s="31" t="n">
        <x:v>4000</x:v>
      </x:c>
      <x:c r="Q6" s="31" t="n">
        <x:v>4133</x:v>
      </x:c>
      <x:c r="R6" s="31" t="n">
        <x:v>2311</x:v>
      </x:c>
      <x:c r="S6" s="31" t="n">
        <x:v>1822</x:v>
      </x:c>
      <x:c r="T6" s="31" t="n">
        <x:v>1331</x:v>
      </x:c>
      <x:c r="U6" s="31" t="n">
        <x:v>778</x:v>
      </x:c>
      <x:c r="V6" s="31" t="n">
        <x:v>553</x:v>
      </x:c>
      <x:c r="W6" s="31" t="n">
        <x:v>25736</x:v>
      </x:c>
      <x:c r="X6" s="31" t="n">
        <x:v>13622</x:v>
      </x:c>
      <x:c r="Y6" s="31" t="n">
        <x:v>12114</x:v>
      </x:c>
      <x:c r="Z6" s="31" t="n">
        <x:v>11582</x:v>
      </x:c>
      <x:c r="AA6" s="31" t="n">
        <x:v>6021</x:v>
      </x:c>
      <x:c r="AB6" s="31" t="n">
        <x:v>5561</x:v>
      </x:c>
      <x:c r="AC6" s="31" t="n">
        <x:v>13668</x:v>
      </x:c>
      <x:c r="AD6" s="31" t="n">
        <x:v>7355</x:v>
      </x:c>
      <x:c r="AE6" s="31" t="n">
        <x:v>6313</x:v>
      </x:c>
      <x:c r="AF6" s="31" t="n">
        <x:v>91</x:v>
      </x:c>
      <x:c r="AG6" s="31" t="n">
        <x:v>44</x:v>
      </x:c>
      <x:c r="AH6" s="31" t="n">
        <x:v>47</x:v>
      </x:c>
      <x:c r="AI6" s="31" t="n">
        <x:v>395</x:v>
      </x:c>
      <x:c r="AJ6" s="31" t="n">
        <x:v>202</x:v>
      </x:c>
      <x:c r="AK6" s="31" t="n">
        <x:v>193</x:v>
      </x:c>
      <x:c r="AL6" s="31" t="n">
        <x:v>25736</x:v>
      </x:c>
      <x:c r="AM6" s="31" t="n">
        <x:v>13622</x:v>
      </x:c>
      <x:c r="AN6" s="31" t="n">
        <x:v>12114</x:v>
      </x:c>
      <x:c r="AO6" s="31" t="n">
        <x:v>24467</x:v>
      </x:c>
      <x:c r="AP6" s="31" t="n">
        <x:v>12923</x:v>
      </x:c>
      <x:c r="AQ6" s="31" t="n">
        <x:v>11544</x:v>
      </x:c>
      <x:c r="AR6" s="31" t="n">
        <x:v>1023</x:v>
      </x:c>
      <x:c r="AS6" s="31" t="n">
        <x:v>558</x:v>
      </x:c>
      <x:c r="AT6" s="31" t="n">
        <x:v>465</x:v>
      </x:c>
      <x:c r="AU6" s="31" t="n">
        <x:v>16</x:v>
      </x:c>
      <x:c r="AV6" s="31" t="n">
        <x:v>10</x:v>
      </x:c>
      <x:c r="AW6" s="31" t="n">
        <x:v>6</x:v>
      </x:c>
      <x:c r="AX6" s="31" t="n">
        <x:v>230</x:v>
      </x:c>
      <x:c r="AY6" s="31" t="n">
        <x:v>131</x:v>
      </x:c>
      <x:c r="AZ6" s="31" t="n">
        <x:v>99</x:v>
      </x:c>
      <x:c r="BA6" s="31" t="n">
        <x:v>14183</x:v>
      </x:c>
      <x:c r="BB6" s="31" t="n">
        <x:v>7700</x:v>
      </x:c>
      <x:c r="BC6" s="31" t="n">
        <x:v>6483</x:v>
      </x:c>
      <x:c r="BD6" s="31" t="n">
        <x:v>1188</x:v>
      </x:c>
      <x:c r="BE6" s="31" t="n">
        <x:v>369</x:v>
      </x:c>
      <x:c r="BF6" s="31" t="n">
        <x:v>819</x:v>
      </x:c>
      <x:c r="BG6" s="31" t="n">
        <x:v>5367</x:v>
      </x:c>
      <x:c r="BH6" s="31" t="n">
        <x:v>2876</x:v>
      </x:c>
      <x:c r="BI6" s="31" t="n">
        <x:v>2491</x:v>
      </x:c>
      <x:c r="BJ6" s="31" t="n">
        <x:v>6159</x:v>
      </x:c>
      <x:c r="BK6" s="31" t="n">
        <x:v>3673</x:v>
      </x:c>
      <x:c r="BL6" s="31" t="n">
        <x:v>2486</x:v>
      </x:c>
      <x:c r="BM6" s="31" t="n">
        <x:v>1292</x:v>
      </x:c>
      <x:c r="BN6" s="31" t="n">
        <x:v>701</x:v>
      </x:c>
      <x:c r="BO6" s="31" t="n">
        <x:v>591</x:v>
      </x:c>
      <x:c r="BP6" s="31" t="n">
        <x:v>177</x:v>
      </x:c>
      <x:c r="BQ6" s="31" t="n">
        <x:v>81</x:v>
      </x:c>
      <x:c r="BR6" s="31" t="n">
        <x:v>96</x:v>
      </x:c>
      <x:c r="BS6" s="31" t="n">
        <x:v>12593</x:v>
      </x:c>
      <x:c r="BT6" s="31" t="n">
        <x:v>7570</x:v>
      </x:c>
      <x:c r="BU6" s="31" t="n">
        <x:v>5023</x:v>
      </x:c>
      <x:c r="BV6" s="31" t="n">
        <x:v>1209</x:v>
      </x:c>
      <x:c r="BW6" s="31" t="n">
        <x:v>760</x:v>
      </x:c>
      <x:c r="BX6" s="31" t="n">
        <x:v>449</x:v>
      </x:c>
      <x:c r="BY6" s="31" t="n">
        <x:v>8586</x:v>
      </x:c>
      <x:c r="BZ6" s="31" t="n">
        <x:v>5364</x:v>
      </x:c>
      <x:c r="CA6" s="31" t="n">
        <x:v>3222</x:v>
      </x:c>
      <x:c r="CB6" s="31" t="n">
        <x:v>1243</x:v>
      </x:c>
      <x:c r="CC6" s="31" t="n">
        <x:v>486</x:v>
      </x:c>
      <x:c r="CD6" s="31" t="n">
        <x:v>757</x:v>
      </x:c>
      <x:c r="CE6" s="31" t="n">
        <x:v>1555</x:v>
      </x:c>
      <x:c r="CF6" s="31" t="n">
        <x:v>960</x:v>
      </x:c>
      <x:c r="CG6" s="31" t="n">
        <x:v>595</x:v>
      </x:c>
      <x:c r="CH6" s="31" t="n">
        <x:v>25736</x:v>
      </x:c>
      <x:c r="CI6" s="31" t="n">
        <x:v>13622</x:v>
      </x:c>
      <x:c r="CJ6" s="31" t="n">
        <x:v>12114</x:v>
      </x:c>
      <x:c r="CK6" s="31" t="n">
        <x:v>21709</x:v>
      </x:c>
      <x:c r="CL6" s="31" t="n">
        <x:v>11379</x:v>
      </x:c>
      <x:c r="CM6" s="31" t="n">
        <x:v>10330</x:v>
      </x:c>
      <x:c r="CN6" s="31" t="n">
        <x:v>2433</x:v>
      </x:c>
      <x:c r="CO6" s="31" t="n">
        <x:v>1225</x:v>
      </x:c>
      <x:c r="CP6" s="31" t="n">
        <x:v>1208</x:v>
      </x:c>
      <x:c r="CQ6" s="31" t="n">
        <x:v>4264</x:v>
      </x:c>
      <x:c r="CR6" s="31" t="n">
        <x:v>2163</x:v>
      </x:c>
      <x:c r="CS6" s="31" t="n">
        <x:v>2101</x:v>
      </x:c>
      <x:c r="CT6" s="31" t="n">
        <x:v>3153</x:v>
      </x:c>
      <x:c r="CU6" s="31" t="n">
        <x:v>1598</x:v>
      </x:c>
      <x:c r="CV6" s="31" t="n">
        <x:v>1555</x:v>
      </x:c>
      <x:c r="CW6" s="31" t="n">
        <x:v>8220</x:v>
      </x:c>
      <x:c r="CX6" s="31" t="n">
        <x:v>4366</x:v>
      </x:c>
      <x:c r="CY6" s="31" t="n">
        <x:v>3854</x:v>
      </x:c>
      <x:c r="CZ6" s="31" t="n">
        <x:v>12049</x:v>
      </x:c>
      <x:c r="DA6" s="31" t="n">
        <x:v>6307</x:v>
      </x:c>
      <x:c r="DB6" s="31" t="n">
        <x:v>5742</x:v>
      </x:c>
      <x:c r="DC6" s="31" t="n">
        <x:v>16319</x:v>
      </x:c>
      <x:c r="DD6" s="31" t="n">
        <x:v>8523</x:v>
      </x:c>
      <x:c r="DE6" s="31" t="n">
        <x:v>7796</x:v>
      </x:c>
      <x:c r="DF6" s="31" t="n">
        <x:v>12593</x:v>
      </x:c>
      <x:c r="DG6" s="31" t="n">
        <x:v>7570</x:v>
      </x:c>
      <x:c r="DH6" s="31" t="n">
        <x:v>5023</x:v>
      </x:c>
      <x:c r="DI6" s="31" t="n">
        <x:v>9900</x:v>
      </x:c>
      <x:c r="DJ6" s="31" t="n">
        <x:v>6292</x:v>
      </x:c>
      <x:c r="DK6" s="31" t="n">
        <x:v>3608</x:v>
      </x:c>
      <x:c r="DL6" s="31" t="n">
        <x:v>710</x:v>
      </x:c>
      <x:c r="DM6" s="31" t="n">
        <x:v>286</x:v>
      </x:c>
      <x:c r="DN6" s="31" t="n">
        <x:v>424</x:v>
      </x:c>
      <x:c r="DO6" s="31" t="n">
        <x:v>273</x:v>
      </x:c>
      <x:c r="DP6" s="31" t="n">
        <x:v>131</x:v>
      </x:c>
      <x:c r="DQ6" s="31" t="n">
        <x:v>142</x:v>
      </x:c>
      <x:c r="DR6" s="31" t="n">
        <x:v>256</x:v>
      </x:c>
      <x:c r="DS6" s="31" t="n">
        <x:v>251</x:v>
      </x:c>
      <x:c r="DT6" s="31" t="n">
        <x:v>5</x:v>
      </x:c>
      <x:c r="DU6" s="31" t="n">
        <x:v>159</x:v>
      </x:c>
      <x:c r="DV6" s="31" t="n">
        <x:v>148</x:v>
      </x:c>
      <x:c r="DW6" s="31" t="n">
        <x:v>11</x:v>
      </x:c>
      <x:c r="DX6" s="31" t="n">
        <x:v>233</x:v>
      </x:c>
      <x:c r="DY6" s="31" t="n">
        <x:v>34</x:v>
      </x:c>
      <x:c r="DZ6" s="31" t="n">
        <x:v>199</x:v>
      </x:c>
      <x:c r="EA6" s="31" t="n">
        <x:v>272</x:v>
      </x:c>
      <x:c r="EB6" s="31" t="n">
        <x:v>133</x:v>
      </x:c>
      <x:c r="EC6" s="31" t="n">
        <x:v>139</x:v>
      </x:c>
      <x:c r="ED6" s="31" t="n">
        <x:v>85</x:v>
      </x:c>
      <x:c r="EE6" s="31" t="n">
        <x:v>31</x:v>
      </x:c>
      <x:c r="EF6" s="31" t="n">
        <x:v>54</x:v>
      </x:c>
      <x:c r="EG6" s="31" t="n">
        <x:v>316</x:v>
      </x:c>
      <x:c r="EH6" s="31" t="n">
        <x:v>138</x:v>
      </x:c>
      <x:c r="EI6" s="31" t="n">
        <x:v>178</x:v>
      </x:c>
      <x:c r="EJ6" s="31" t="n">
        <x:v>389</x:v>
      </x:c>
      <x:c r="EK6" s="31" t="n">
        <x:v>126</x:v>
      </x:c>
      <x:c r="EL6" s="31" t="n">
        <x:v>263</x:v>
      </x:c>
      <x:c r="EM6" s="31" t="n">
        <x:v>25490</x:v>
      </x:c>
      <x:c r="EN6" s="31" t="n">
        <x:v>13481</x:v>
      </x:c>
      <x:c r="EO6" s="31" t="n">
        <x:v>12009</x:v>
      </x:c>
      <x:c r="EP6" s="31" t="n">
        <x:v>21268</x:v>
      </x:c>
      <x:c r="EQ6" s="31" t="n">
        <x:v>11080</x:v>
      </x:c>
      <x:c r="ER6" s="31" t="n">
        <x:v>10188</x:v>
      </x:c>
      <x:c r="ES6" s="31" t="n">
        <x:v>651</x:v>
      </x:c>
      <x:c r="ET6" s="31" t="n">
        <x:v>319</x:v>
      </x:c>
      <x:c r="EU6" s="31" t="n">
        <x:v>332</x:v>
      </x:c>
      <x:c r="EV6" s="31" t="n">
        <x:v>126</x:v>
      </x:c>
      <x:c r="EW6" s="31" t="n">
        <x:v>66</x:v>
      </x:c>
      <x:c r="EX6" s="31" t="n">
        <x:v>60</x:v>
      </x:c>
      <x:c r="EY6" s="31" t="n">
        <x:v>2836</x:v>
      </x:c>
      <x:c r="EZ6" s="31" t="n">
        <x:v>1674</x:v>
      </x:c>
      <x:c r="FA6" s="31" t="n">
        <x:v>1162</x:v>
      </x:c>
      <x:c r="FB6" s="31" t="n">
        <x:v>609</x:v>
      </x:c>
      <x:c r="FC6" s="31" t="n">
        <x:v>342</x:v>
      </x:c>
      <x:c r="FD6" s="31" t="n">
        <x:v>267</x:v>
      </x:c>
      <x:c r="FE6" s="31" t="n">
        <x:v>12009</x:v>
      </x:c>
      <x:c r="FF6" s="31" t="n">
        <x:v>11979</x:v>
      </x:c>
      <x:c r="FG6" s="31" t="n">
        <x:v>9862</x:v>
      </x:c>
      <x:c r="FH6" s="31" t="n">
        <x:v>1491</x:v>
      </x:c>
      <x:c r="FI6" s="31" t="n">
        <x:v>626</x:v>
      </x:c>
      <x:c r="FJ6" s="31" t="n">
        <x:v>30</x:v>
      </x:c>
      <x:c r="FK6" s="31" t="n">
        <x:v>9862</x:v>
      </x:c>
      <x:c r="FL6" s="31" t="n">
        <x:v>8801</x:v>
      </x:c>
      <x:c r="FM6" s="31" t="n">
        <x:v>366</x:v>
      </x:c>
      <x:c r="FN6" s="31" t="n">
        <x:v>15</x:v>
      </x:c>
      <x:c r="FO6" s="31" t="n">
        <x:v>486</x:v>
      </x:c>
      <x:c r="FP6" s="31" t="n">
        <x:v>194</x:v>
      </x:c>
      <x:c r="FQ6" s="31" t="n">
        <x:v>9862</x:v>
      </x:c>
      <x:c r="FR6" s="31" t="n">
        <x:v>6153</x:v>
      </x:c>
      <x:c r="FS6" s="31" t="n">
        <x:v>159</x:v>
      </x:c>
      <x:c r="FT6" s="31" t="n">
        <x:v>488</x:v>
      </x:c>
      <x:c r="FU6" s="31" t="n">
        <x:v>102</x:v>
      </x:c>
      <x:c r="FV6" s="31" t="n">
        <x:v>2960</x:v>
      </x:c>
      <x:c r="FW6" s="31" t="n">
        <x:v>9862</x:v>
      </x:c>
      <x:c r="FX6" s="31" t="n">
        <x:v>1867</x:v>
      </x:c>
      <x:c r="FY6" s="31" t="n">
        <x:v>1699</x:v>
      </x:c>
      <x:c r="FZ6" s="31" t="n">
        <x:v>19</x:v>
      </x:c>
      <x:c r="GA6" s="31" t="n">
        <x:v>1258</x:v>
      </x:c>
      <x:c r="GB6" s="31" t="n">
        <x:v>1761</x:v>
      </x:c>
      <x:c r="GC6" s="31" t="n">
        <x:v>2457</x:v>
      </x:c>
      <x:c r="GD6" s="31" t="n">
        <x:v>218</x:v>
      </x:c>
      <x:c r="GE6" s="31" t="n">
        <x:v>368</x:v>
      </x:c>
      <x:c r="GF6" s="31" t="n">
        <x:v>215</x:v>
      </x:c>
      <x:c r="GG6" s="31" t="n">
        <x:v>9862</x:v>
      </x:c>
      <x:c r="GH6" s="31" t="n">
        <x:v>761</x:v>
      </x:c>
      <x:c r="GI6" s="31" t="n">
        <x:v>505</x:v>
      </x:c>
      <x:c r="GJ6" s="31" t="n">
        <x:v>4998</x:v>
      </x:c>
      <x:c r="GK6" s="31" t="n">
        <x:v>80</x:v>
      </x:c>
      <x:c r="GL6" s="31" t="n">
        <x:v>317</x:v>
      </x:c>
      <x:c r="GM6" s="31" t="n">
        <x:v>484</x:v>
      </x:c>
      <x:c r="GN6" s="31" t="n">
        <x:v>2717</x:v>
      </x:c>
      <x:c r="GO6" s="31" t="n">
        <x:v>9862</x:v>
      </x:c>
      <x:c r="GP6" s="31" t="n">
        <x:v>5371</x:v>
      </x:c>
      <x:c r="GQ6" s="31" t="n">
        <x:v>11</x:v>
      </x:c>
      <x:c r="GR6" s="31" t="n">
        <x:v>4290</x:v>
      </x:c>
      <x:c r="GS6" s="31" t="n">
        <x:v>17</x:v>
      </x:c>
      <x:c r="GT6" s="31" t="n">
        <x:v>14</x:v>
      </x:c>
      <x:c r="GU6" s="31" t="n">
        <x:v>2</x:v>
      </x:c>
      <x:c r="GV6" s="31" t="n">
        <x:v>6</x:v>
      </x:c>
      <x:c r="GW6" s="31" t="n">
        <x:v>151</x:v>
      </x:c>
      <x:c r="GX6" s="31" t="n">
        <x:v>9862</x:v>
      </x:c>
      <x:c r="GY6" s="31" t="n">
        <x:v>194</x:v>
      </x:c>
      <x:c r="GZ6" s="31" t="n">
        <x:v>510</x:v>
      </x:c>
      <x:c r="HA6" s="31" t="n">
        <x:v>129</x:v>
      </x:c>
      <x:c r="HB6" s="31" t="n">
        <x:v>62</x:v>
      </x:c>
      <x:c r="HC6" s="31" t="n">
        <x:v>8449</x:v>
      </x:c>
      <x:c r="HD6" s="31" t="n">
        <x:v>444</x:v>
      </x:c>
      <x:c r="HE6" s="31" t="n">
        <x:v>74</x:v>
      </x:c>
      <x:c r="HF6" s="31" t="n">
        <x:v>9862</x:v>
      </x:c>
      <x:c r="HG6" s="31" t="n">
        <x:v>4654</x:v>
      </x:c>
      <x:c r="HH6" s="31" t="n">
        <x:v>3029</x:v>
      </x:c>
      <x:c r="HI6" s="31" t="n">
        <x:v>7904</x:v>
      </x:c>
      <x:c r="HJ6" s="31" t="n">
        <x:v>5741</x:v>
      </x:c>
      <x:c r="HK6" s="31" t="str">
        <x:v>Ficha_INE_Isiboro_Secure.pdf</x:v>
      </x:c>
      <x:c r="HL6" s="31" t="str">
        <x:v>Instituto Nacional de Estadística, Censo de Población y Vivienda 2024</x:v>
      </x:c>
    </x:row>
    <x:row r="7" ht="20" customHeight="1">
      <x:c r="A7" s="31" t="str">
        <x:v>AP-1301</x:v>
      </x:c>
      <x:c r="B7" s="31" t="str">
        <x:v>Carrasco</x:v>
      </x:c>
      <x:c r="C7" s="31" t="n">
        <x:v>4</x:v>
      </x:c>
      <x:c r="D7" s="31" t="str">
        <x:v>Sí</x:v>
      </x:c>
      <x:c r="E7" s="31" t="str">
        <x:v>COCHABAMBA, SANTA CRUZ</x:v>
      </x:c>
      <x:c r="F7" s="31" t="str">
        <x:v>CHAPARE, CARRASCO, TIRAQUE, MÁS 1 PROVINCIAS</x:v>
      </x:c>
      <x:c r="G7" s="31" t="str">
        <x:v>COLOMI, VILLA TUNARI, TOTORA, MÁS 7</x:v>
      </x:c>
      <x:c r="H7" s="31" t="n">
        <x:v>17387</x:v>
      </x:c>
      <x:c r="I7" s="31" t="n">
        <x:v>10433</x:v>
      </x:c>
      <x:c r="J7" s="31" t="n">
        <x:v>6954</x:v>
      </x:c>
      <x:c r="K7" s="31" t="n">
        <x:v>5972</x:v>
      </x:c>
      <x:c r="L7" s="31" t="n">
        <x:v>3255</x:v>
      </x:c>
      <x:c r="M7" s="31" t="n">
        <x:v>2717</x:v>
      </x:c>
      <x:c r="N7" s="31" t="n">
        <x:v>6630</x:v>
      </x:c>
      <x:c r="O7" s="31" t="n">
        <x:v>4118</x:v>
      </x:c>
      <x:c r="P7" s="31" t="n">
        <x:v>2512</x:v>
      </x:c>
      <x:c r="Q7" s="31" t="n">
        <x:v>3782</x:v>
      </x:c>
      <x:c r="R7" s="31" t="n">
        <x:v>2422</x:v>
      </x:c>
      <x:c r="S7" s="31" t="n">
        <x:v>1360</x:v>
      </x:c>
      <x:c r="T7" s="31" t="n">
        <x:v>1003</x:v>
      </x:c>
      <x:c r="U7" s="31" t="n">
        <x:v>638</x:v>
      </x:c>
      <x:c r="V7" s="31" t="n">
        <x:v>365</x:v>
      </x:c>
      <x:c r="W7" s="31" t="n">
        <x:v>17387</x:v>
      </x:c>
      <x:c r="X7" s="31" t="n">
        <x:v>10433</x:v>
      </x:c>
      <x:c r="Y7" s="31" t="n">
        <x:v>6954</x:v>
      </x:c>
      <x:c r="Z7" s="31" t="n">
        <x:v>5865</x:v>
      </x:c>
      <x:c r="AA7" s="31" t="n">
        <x:v>3319</x:v>
      </x:c>
      <x:c r="AB7" s="31" t="n">
        <x:v>2546</x:v>
      </x:c>
      <x:c r="AC7" s="31" t="n">
        <x:v>11224</x:v>
      </x:c>
      <x:c r="AD7" s="31" t="n">
        <x:v>6915</x:v>
      </x:c>
      <x:c r="AE7" s="31" t="n">
        <x:v>4309</x:v>
      </x:c>
      <x:c r="AF7" s="31" t="n">
        <x:v>80</x:v>
      </x:c>
      <x:c r="AG7" s="31" t="n">
        <x:v>56</x:v>
      </x:c>
      <x:c r="AH7" s="31" t="n">
        <x:v>24</x:v>
      </x:c>
      <x:c r="AI7" s="31" t="n">
        <x:v>218</x:v>
      </x:c>
      <x:c r="AJ7" s="31" t="n">
        <x:v>143</x:v>
      </x:c>
      <x:c r="AK7" s="31" t="n">
        <x:v>75</x:v>
      </x:c>
      <x:c r="AL7" s="31" t="n">
        <x:v>17387</x:v>
      </x:c>
      <x:c r="AM7" s="31" t="n">
        <x:v>10433</x:v>
      </x:c>
      <x:c r="AN7" s="31" t="n">
        <x:v>6954</x:v>
      </x:c>
      <x:c r="AO7" s="31" t="n">
        <x:v>16578</x:v>
      </x:c>
      <x:c r="AP7" s="31" t="n">
        <x:v>9914</x:v>
      </x:c>
      <x:c r="AQ7" s="31" t="n">
        <x:v>6664</x:v>
      </x:c>
      <x:c r="AR7" s="31" t="n">
        <x:v>662</x:v>
      </x:c>
      <x:c r="AS7" s="31" t="n">
        <x:v>422</x:v>
      </x:c>
      <x:c r="AT7" s="31" t="n">
        <x:v>240</x:v>
      </x:c>
      <x:c r="AU7" s="31" t="n">
        <x:v>8</x:v>
      </x:c>
      <x:c r="AV7" s="31" t="n">
        <x:v>4</x:v>
      </x:c>
      <x:c r="AW7" s="31" t="n">
        <x:v>4</x:v>
      </x:c>
      <x:c r="AX7" s="31" t="n">
        <x:v>139</x:v>
      </x:c>
      <x:c r="AY7" s="31" t="n">
        <x:v>93</x:v>
      </x:c>
      <x:c r="AZ7" s="31" t="n">
        <x:v>46</x:v>
      </x:c>
      <x:c r="BA7" s="31" t="n">
        <x:v>11613</x:v>
      </x:c>
      <x:c r="BB7" s="31" t="n">
        <x:v>7294</x:v>
      </x:c>
      <x:c r="BC7" s="31" t="n">
        <x:v>4319</x:v>
      </x:c>
      <x:c r="BD7" s="31" t="n">
        <x:v>809</x:v>
      </x:c>
      <x:c r="BE7" s="31" t="n">
        <x:v>288</x:v>
      </x:c>
      <x:c r="BF7" s="31" t="n">
        <x:v>521</x:v>
      </x:c>
      <x:c r="BG7" s="31" t="n">
        <x:v>4950</x:v>
      </x:c>
      <x:c r="BH7" s="31" t="n">
        <x:v>3119</x:v>
      </x:c>
      <x:c r="BI7" s="31" t="n">
        <x:v>1831</x:v>
      </x:c>
      <x:c r="BJ7" s="31" t="n">
        <x:v>4615</x:v>
      </x:c>
      <x:c r="BK7" s="31" t="n">
        <x:v>3138</x:v>
      </x:c>
      <x:c r="BL7" s="31" t="n">
        <x:v>1477</x:v>
      </x:c>
      <x:c r="BM7" s="31" t="n">
        <x:v>1182</x:v>
      </x:c>
      <x:c r="BN7" s="31" t="n">
        <x:v>721</x:v>
      </x:c>
      <x:c r="BO7" s="31" t="n">
        <x:v>461</x:v>
      </x:c>
      <x:c r="BP7" s="31" t="n">
        <x:v>57</x:v>
      </x:c>
      <x:c r="BQ7" s="31" t="n">
        <x:v>28</x:v>
      </x:c>
      <x:c r="BR7" s="31" t="n">
        <x:v>29</x:v>
      </x:c>
      <x:c r="BS7" s="31" t="n">
        <x:v>11068</x:v>
      </x:c>
      <x:c r="BT7" s="31" t="n">
        <x:v>7406</x:v>
      </x:c>
      <x:c r="BU7" s="31" t="n">
        <x:v>3662</x:v>
      </x:c>
      <x:c r="BV7" s="31" t="n">
        <x:v>1257</x:v>
      </x:c>
      <x:c r="BW7" s="31" t="n">
        <x:v>933</x:v>
      </x:c>
      <x:c r="BX7" s="31" t="n">
        <x:v>324</x:v>
      </x:c>
      <x:c r="BY7" s="31" t="n">
        <x:v>7982</x:v>
      </x:c>
      <x:c r="BZ7" s="31" t="n">
        <x:v>5386</x:v>
      </x:c>
      <x:c r="CA7" s="31" t="n">
        <x:v>2596</x:v>
      </x:c>
      <x:c r="CB7" s="31" t="n">
        <x:v>642</x:v>
      </x:c>
      <x:c r="CC7" s="31" t="n">
        <x:v>308</x:v>
      </x:c>
      <x:c r="CD7" s="31" t="n">
        <x:v>334</x:v>
      </x:c>
      <x:c r="CE7" s="31" t="n">
        <x:v>1187</x:v>
      </x:c>
      <x:c r="CF7" s="31" t="n">
        <x:v>779</x:v>
      </x:c>
      <x:c r="CG7" s="31" t="n">
        <x:v>408</x:v>
      </x:c>
      <x:c r="CH7" s="31" t="n">
        <x:v>17387</x:v>
      </x:c>
      <x:c r="CI7" s="31" t="n">
        <x:v>10433</x:v>
      </x:c>
      <x:c r="CJ7" s="31" t="n">
        <x:v>6954</x:v>
      </x:c>
      <x:c r="CK7" s="31" t="n">
        <x:v>14528</x:v>
      </x:c>
      <x:c r="CL7" s="31" t="n">
        <x:v>8453</x:v>
      </x:c>
      <x:c r="CM7" s="31" t="n">
        <x:v>6075</x:v>
      </x:c>
      <x:c r="CN7" s="31" t="n">
        <x:v>1586</x:v>
      </x:c>
      <x:c r="CO7" s="31" t="n">
        <x:v>968</x:v>
      </x:c>
      <x:c r="CP7" s="31" t="n">
        <x:v>618</x:v>
      </x:c>
      <x:c r="CQ7" s="31" t="n">
        <x:v>3899</x:v>
      </x:c>
      <x:c r="CR7" s="31" t="n">
        <x:v>2216</x:v>
      </x:c>
      <x:c r="CS7" s="31" t="n">
        <x:v>1683</x:v>
      </x:c>
      <x:c r="CT7" s="31" t="n">
        <x:v>1473</x:v>
      </x:c>
      <x:c r="CU7" s="31" t="n">
        <x:v>799</x:v>
      </x:c>
      <x:c r="CV7" s="31" t="n">
        <x:v>674</x:v>
      </x:c>
      <x:c r="CW7" s="31" t="n">
        <x:v>5363</x:v>
      </x:c>
      <x:c r="CX7" s="31" t="n">
        <x:v>3292</x:v>
      </x:c>
      <x:c r="CY7" s="31" t="n">
        <x:v>2071</x:v>
      </x:c>
      <x:c r="CZ7" s="31" t="n">
        <x:v>9323</x:v>
      </x:c>
      <x:c r="DA7" s="31" t="n">
        <x:v>5485</x:v>
      </x:c>
      <x:c r="DB7" s="31" t="n">
        <x:v>3838</x:v>
      </x:c>
      <x:c r="DC7" s="31" t="n">
        <x:v>11385</x:v>
      </x:c>
      <x:c r="DD7" s="31" t="n">
        <x:v>6793</x:v>
      </x:c>
      <x:c r="DE7" s="31" t="n">
        <x:v>4592</x:v>
      </x:c>
      <x:c r="DF7" s="31" t="n">
        <x:v>11068</x:v>
      </x:c>
      <x:c r="DG7" s="31" t="n">
        <x:v>7406</x:v>
      </x:c>
      <x:c r="DH7" s="31" t="n">
        <x:v>3662</x:v>
      </x:c>
      <x:c r="DI7" s="31" t="n">
        <x:v>9152</x:v>
      </x:c>
      <x:c r="DJ7" s="31" t="n">
        <x:v>6335</x:v>
      </x:c>
      <x:c r="DK7" s="31" t="n">
        <x:v>2817</x:v>
      </x:c>
      <x:c r="DL7" s="31" t="n">
        <x:v>443</x:v>
      </x:c>
      <x:c r="DM7" s="31" t="n">
        <x:v>172</x:v>
      </x:c>
      <x:c r="DN7" s="31" t="n">
        <x:v>271</x:v>
      </x:c>
      <x:c r="DO7" s="31" t="n">
        <x:v>163</x:v>
      </x:c>
      <x:c r="DP7" s="31" t="n">
        <x:v>80</x:v>
      </x:c>
      <x:c r="DQ7" s="31" t="n">
        <x:v>83</x:v>
      </x:c>
      <x:c r="DR7" s="31" t="n">
        <x:v>388</x:v>
      </x:c>
      <x:c r="DS7" s="31" t="n">
        <x:v>376</x:v>
      </x:c>
      <x:c r="DT7" s="31" t="n">
        <x:v>12</x:v>
      </x:c>
      <x:c r="DU7" s="31" t="n">
        <x:v>119</x:v>
      </x:c>
      <x:c r="DV7" s="31" t="n">
        <x:v>115</x:v>
      </x:c>
      <x:c r="DW7" s="31" t="n">
        <x:v>4</x:v>
      </x:c>
      <x:c r="DX7" s="31" t="n">
        <x:v>117</x:v>
      </x:c>
      <x:c r="DY7" s="31" t="n">
        <x:v>15</x:v>
      </x:c>
      <x:c r="DZ7" s="31" t="n">
        <x:v>102</x:v>
      </x:c>
      <x:c r="EA7" s="31" t="n">
        <x:v>88</x:v>
      </x:c>
      <x:c r="EB7" s="31" t="n">
        <x:v>47</x:v>
      </x:c>
      <x:c r="EC7" s="31" t="n">
        <x:v>41</x:v>
      </x:c>
      <x:c r="ED7" s="31" t="n">
        <x:v>48</x:v>
      </x:c>
      <x:c r="EE7" s="31" t="n">
        <x:v>11</x:v>
      </x:c>
      <x:c r="EF7" s="31" t="n">
        <x:v>37</x:v>
      </x:c>
      <x:c r="EG7" s="31" t="n">
        <x:v>352</x:v>
      </x:c>
      <x:c r="EH7" s="31" t="n">
        <x:v>218</x:v>
      </x:c>
      <x:c r="EI7" s="31" t="n">
        <x:v>134</x:v>
      </x:c>
      <x:c r="EJ7" s="31" t="n">
        <x:v>198</x:v>
      </x:c>
      <x:c r="EK7" s="31" t="n">
        <x:v>37</x:v>
      </x:c>
      <x:c r="EL7" s="31" t="n">
        <x:v>161</x:v>
      </x:c>
      <x:c r="EM7" s="31" t="n">
        <x:v>17240</x:v>
      </x:c>
      <x:c r="EN7" s="31" t="n">
        <x:v>10336</x:v>
      </x:c>
      <x:c r="EO7" s="31" t="n">
        <x:v>6904</x:v>
      </x:c>
      <x:c r="EP7" s="31" t="n">
        <x:v>14677</x:v>
      </x:c>
      <x:c r="EQ7" s="31" t="n">
        <x:v>8604</x:v>
      </x:c>
      <x:c r="ER7" s="31" t="n">
        <x:v>6073</x:v>
      </x:c>
      <x:c r="ES7" s="31" t="n">
        <x:v>454</x:v>
      </x:c>
      <x:c r="ET7" s="31" t="n">
        <x:v>297</x:v>
      </x:c>
      <x:c r="EU7" s="31" t="n">
        <x:v>157</x:v>
      </x:c>
      <x:c r="EV7" s="31" t="n">
        <x:v>40</x:v>
      </x:c>
      <x:c r="EW7" s="31" t="n">
        <x:v>20</x:v>
      </x:c>
      <x:c r="EX7" s="31" t="n">
        <x:v>20</x:v>
      </x:c>
      <x:c r="EY7" s="31" t="n">
        <x:v>1710</x:v>
      </x:c>
      <x:c r="EZ7" s="31" t="n">
        <x:v>1199</x:v>
      </x:c>
      <x:c r="FA7" s="31" t="n">
        <x:v>511</x:v>
      </x:c>
      <x:c r="FB7" s="31" t="n">
        <x:v>359</x:v>
      </x:c>
      <x:c r="FC7" s="31" t="n">
        <x:v>216</x:v>
      </x:c>
      <x:c r="FD7" s="31" t="n">
        <x:v>143</x:v>
      </x:c>
      <x:c r="FE7" s="31" t="n">
        <x:v>9594</x:v>
      </x:c>
      <x:c r="FF7" s="31" t="n">
        <x:v>9578</x:v>
      </x:c>
      <x:c r="FG7" s="31" t="n">
        <x:v>8611</x:v>
      </x:c>
      <x:c r="FH7" s="31" t="n">
        <x:v>803</x:v>
      </x:c>
      <x:c r="FI7" s="31" t="n">
        <x:v>164</x:v>
      </x:c>
      <x:c r="FJ7" s="31" t="n">
        <x:v>16</x:v>
      </x:c>
      <x:c r="FK7" s="31" t="n">
        <x:v>8611</x:v>
      </x:c>
      <x:c r="FL7" s="31" t="n">
        <x:v>8123</x:v>
      </x:c>
      <x:c r="FM7" s="31" t="n">
        <x:v>127</x:v>
      </x:c>
      <x:c r="FN7" s="31" t="n">
        <x:v>17</x:v>
      </x:c>
      <x:c r="FO7" s="31" t="n">
        <x:v>258</x:v>
      </x:c>
      <x:c r="FP7" s="31" t="n">
        <x:v>86</x:v>
      </x:c>
      <x:c r="FQ7" s="31" t="n">
        <x:v>8611</x:v>
      </x:c>
      <x:c r="FR7" s="31" t="n">
        <x:v>2180</x:v>
      </x:c>
      <x:c r="FS7" s="31" t="n">
        <x:v>24</x:v>
      </x:c>
      <x:c r="FT7" s="31" t="n">
        <x:v>507</x:v>
      </x:c>
      <x:c r="FU7" s="31" t="n">
        <x:v>47</x:v>
      </x:c>
      <x:c r="FV7" s="31" t="n">
        <x:v>5853</x:v>
      </x:c>
      <x:c r="FW7" s="31" t="n">
        <x:v>8611</x:v>
      </x:c>
      <x:c r="FX7" s="31" t="n">
        <x:v>2039</x:v>
      </x:c>
      <x:c r="FY7" s="31" t="n">
        <x:v>443</x:v>
      </x:c>
      <x:c r="FZ7" s="31" t="n">
        <x:v>7</x:v>
      </x:c>
      <x:c r="GA7" s="31" t="n">
        <x:v>56</x:v>
      </x:c>
      <x:c r="GB7" s="31" t="n">
        <x:v>198</x:v>
      </x:c>
      <x:c r="GC7" s="31" t="n">
        <x:v>4736</x:v>
      </x:c>
      <x:c r="GD7" s="31" t="n">
        <x:v>755</x:v>
      </x:c>
      <x:c r="GE7" s="31" t="n">
        <x:v>276</x:v>
      </x:c>
      <x:c r="GF7" s="31" t="n">
        <x:v>101</x:v>
      </x:c>
      <x:c r="GG7" s="31" t="n">
        <x:v>8611</x:v>
      </x:c>
      <x:c r="GH7" s="31" t="n">
        <x:v>187</x:v>
      </x:c>
      <x:c r="GI7" s="31" t="n">
        <x:v>200</x:v>
      </x:c>
      <x:c r="GJ7" s="31" t="n">
        <x:v>2749</x:v>
      </x:c>
      <x:c r="GK7" s="31" t="n">
        <x:v>103</x:v>
      </x:c>
      <x:c r="GL7" s="31" t="n">
        <x:v>126</x:v>
      </x:c>
      <x:c r="GM7" s="31" t="n">
        <x:v>334</x:v>
      </x:c>
      <x:c r="GN7" s="31" t="n">
        <x:v>4912</x:v>
      </x:c>
      <x:c r="GO7" s="31" t="n">
        <x:v>8611</x:v>
      </x:c>
      <x:c r="GP7" s="31" t="n">
        <x:v>2219</x:v>
      </x:c>
      <x:c r="GQ7" s="31" t="n">
        <x:v>13</x:v>
      </x:c>
      <x:c r="GR7" s="31" t="n">
        <x:v>6248</x:v>
      </x:c>
      <x:c r="GS7" s="31" t="n">
        <x:v>38</x:v>
      </x:c>
      <x:c r="GT7" s="31" t="n">
        <x:v>5</x:v>
      </x:c>
      <x:c r="GU7" s="31" t="n">
        <x:v>4</x:v>
      </x:c>
      <x:c r="GV7" s="31" t="n">
        <x:v>5</x:v>
      </x:c>
      <x:c r="GW7" s="31" t="n">
        <x:v>79</x:v>
      </x:c>
      <x:c r="GX7" s="31" t="n">
        <x:v>8611</x:v>
      </x:c>
      <x:c r="GY7" s="31" t="n">
        <x:v>116</x:v>
      </x:c>
      <x:c r="GZ7" s="31" t="n">
        <x:v>381</x:v>
      </x:c>
      <x:c r="HA7" s="31" t="n">
        <x:v>194</x:v>
      </x:c>
      <x:c r="HB7" s="31" t="n">
        <x:v>46</x:v>
      </x:c>
      <x:c r="HC7" s="31" t="n">
        <x:v>6951</x:v>
      </x:c>
      <x:c r="HD7" s="31" t="n">
        <x:v>774</x:v>
      </x:c>
      <x:c r="HE7" s="31" t="n">
        <x:v>149</x:v>
      </x:c>
      <x:c r="HF7" s="31" t="n">
        <x:v>8611</x:v>
      </x:c>
      <x:c r="HG7" s="31" t="n">
        <x:v>5046</x:v>
      </x:c>
      <x:c r="HH7" s="31" t="n">
        <x:v>1237</x:v>
      </x:c>
      <x:c r="HI7" s="31" t="n">
        <x:v>6275</x:v>
      </x:c>
      <x:c r="HJ7" s="31" t="n">
        <x:v>3361</x:v>
      </x:c>
      <x:c r="HK7" s="31" t="str">
        <x:v>Ficha_INE_Carrasco.pdf</x:v>
      </x:c>
      <x:c r="HL7" s="31" t="str">
        <x:v>Instituto Nacional de Estadística, Censo de Población y Vivienda 2024</x:v>
      </x:c>
    </x:row>
    <x:row r="8" ht="20" customHeight="1">
      <x:c r="A8" s="31" t="str">
        <x:v>Charagua-03</x:v>
      </x:c>
      <x:c r="B8" s="31" t="str">
        <x:v>Yande Yari</x:v>
      </x:c>
      <x:c r="C8" s="31" t="n">
        <x:v>26</x:v>
      </x:c>
      <x:c r="D8" s="31" t="str">
        <x:v>Sí</x:v>
      </x:c>
      <x:c r="E8" s="31" t="str">
        <x:v>SANTA CRUZ</x:v>
      </x:c>
      <x:c r="F8" s="31" t="str">
        <x:v>CORDILLERA</x:v>
      </x:c>
      <x:c r="G8" s="31" t="str">
        <x:v>CHARAGUA (AUTONOMÍA GUARANÍ</x:v>
      </x:c>
      <x:c r="H8" s="31" t="n">
        <x:v>13922</x:v>
      </x:c>
      <x:c r="I8" s="31" t="n">
        <x:v>7054</x:v>
      </x:c>
      <x:c r="J8" s="31" t="n">
        <x:v>6868</x:v>
      </x:c>
      <x:c r="K8" s="31" t="n">
        <x:v>6758</x:v>
      </x:c>
      <x:c r="L8" s="31" t="n">
        <x:v>3413</x:v>
      </x:c>
      <x:c r="M8" s="31" t="n">
        <x:v>3345</x:v>
      </x:c>
      <x:c r="N8" s="31" t="n">
        <x:v>3994</x:v>
      </x:c>
      <x:c r="O8" s="31" t="n">
        <x:v>2087</x:v>
      </x:c>
      <x:c r="P8" s="31" t="n">
        <x:v>1907</x:v>
      </x:c>
      <x:c r="Q8" s="31" t="n">
        <x:v>2227</x:v>
      </x:c>
      <x:c r="R8" s="31" t="n">
        <x:v>1116</x:v>
      </x:c>
      <x:c r="S8" s="31" t="n">
        <x:v>1111</x:v>
      </x:c>
      <x:c r="T8" s="31" t="n">
        <x:v>943</x:v>
      </x:c>
      <x:c r="U8" s="31" t="n">
        <x:v>438</x:v>
      </x:c>
      <x:c r="V8" s="31" t="n">
        <x:v>505</x:v>
      </x:c>
      <x:c r="W8" s="31" t="n">
        <x:v>13922</x:v>
      </x:c>
      <x:c r="X8" s="31" t="n">
        <x:v>7054</x:v>
      </x:c>
      <x:c r="Y8" s="31" t="n">
        <x:v>6868</x:v>
      </x:c>
      <x:c r="Z8" s="31" t="n">
        <x:v>11787</x:v>
      </x:c>
      <x:c r="AA8" s="31" t="n">
        <x:v>5951</x:v>
      </x:c>
      <x:c r="AB8" s="31" t="n">
        <x:v>5836</x:v>
      </x:c>
      <x:c r="AC8" s="31" t="n">
        <x:v>1229</x:v>
      </x:c>
      <x:c r="AD8" s="31" t="n">
        <x:v>645</x:v>
      </x:c>
      <x:c r="AE8" s="31" t="n">
        <x:v>584</x:v>
      </x:c>
      <x:c r="AF8" s="31" t="n">
        <x:v>126</x:v>
      </x:c>
      <x:c r="AG8" s="31" t="n">
        <x:v>81</x:v>
      </x:c>
      <x:c r="AH8" s="31" t="n">
        <x:v>45</x:v>
      </x:c>
      <x:c r="AI8" s="31" t="n">
        <x:v>780</x:v>
      </x:c>
      <x:c r="AJ8" s="31" t="n">
        <x:v>377</x:v>
      </x:c>
      <x:c r="AK8" s="31" t="n">
        <x:v>403</x:v>
      </x:c>
      <x:c r="AL8" s="31" t="n">
        <x:v>13922</x:v>
      </x:c>
      <x:c r="AM8" s="31" t="n">
        <x:v>7054</x:v>
      </x:c>
      <x:c r="AN8" s="31" t="n">
        <x:v>6868</x:v>
      </x:c>
      <x:c r="AO8" s="31" t="n">
        <x:v>12761</x:v>
      </x:c>
      <x:c r="AP8" s="31" t="n">
        <x:v>6472</x:v>
      </x:c>
      <x:c r="AQ8" s="31" t="n">
        <x:v>6289</x:v>
      </x:c>
      <x:c r="AR8" s="31" t="n">
        <x:v>366</x:v>
      </x:c>
      <x:c r="AS8" s="31" t="n">
        <x:v>184</x:v>
      </x:c>
      <x:c r="AT8" s="31" t="n">
        <x:v>182</x:v>
      </x:c>
      <x:c r="AU8" s="31" t="n">
        <x:v>11</x:v>
      </x:c>
      <x:c r="AV8" s="31" t="n">
        <x:v>6</x:v>
      </x:c>
      <x:c r="AW8" s="31" t="n">
        <x:v>5</x:v>
      </x:c>
      <x:c r="AX8" s="31" t="n">
        <x:v>784</x:v>
      </x:c>
      <x:c r="AY8" s="31" t="n">
        <x:v>392</x:v>
      </x:c>
      <x:c r="AZ8" s="31" t="n">
        <x:v>392</x:v>
      </x:c>
      <x:c r="BA8" s="31" t="n">
        <x:v>6961</x:v>
      </x:c>
      <x:c r="BB8" s="31" t="n">
        <x:v>3550</x:v>
      </x:c>
      <x:c r="BC8" s="31" t="n">
        <x:v>3411</x:v>
      </x:c>
      <x:c r="BD8" s="31" t="n">
        <x:v>493</x:v>
      </x:c>
      <x:c r="BE8" s="31" t="n">
        <x:v>177</x:v>
      </x:c>
      <x:c r="BF8" s="31" t="n">
        <x:v>316</x:v>
      </x:c>
      <x:c r="BG8" s="31" t="n">
        <x:v>2548</x:v>
      </x:c>
      <x:c r="BH8" s="31" t="n">
        <x:v>1186</x:v>
      </x:c>
      <x:c r="BI8" s="31" t="n">
        <x:v>1362</x:v>
      </x:c>
      <x:c r="BJ8" s="31" t="n">
        <x:v>3072</x:v>
      </x:c>
      <x:c r="BK8" s="31" t="n">
        <x:v>1760</x:v>
      </x:c>
      <x:c r="BL8" s="31" t="n">
        <x:v>1312</x:v>
      </x:c>
      <x:c r="BM8" s="31" t="n">
        <x:v>663</x:v>
      </x:c>
      <x:c r="BN8" s="31" t="n">
        <x:v>358</x:v>
      </x:c>
      <x:c r="BO8" s="31" t="n">
        <x:v>305</x:v>
      </x:c>
      <x:c r="BP8" s="31" t="n">
        <x:v>185</x:v>
      </x:c>
      <x:c r="BQ8" s="31" t="n">
        <x:v>69</x:v>
      </x:c>
      <x:c r="BR8" s="31" t="n">
        <x:v>116</x:v>
      </x:c>
      <x:c r="BS8" s="31" t="n">
        <x:v>4439</x:v>
      </x:c>
      <x:c r="BT8" s="31" t="n">
        <x:v>2796</x:v>
      </x:c>
      <x:c r="BU8" s="31" t="n">
        <x:v>1643</x:v>
      </x:c>
      <x:c r="BV8" s="31" t="n">
        <x:v>946</x:v>
      </x:c>
      <x:c r="BW8" s="31" t="n">
        <x:v>726</x:v>
      </x:c>
      <x:c r="BX8" s="31" t="n">
        <x:v>220</x:v>
      </x:c>
      <x:c r="BY8" s="31" t="n">
        <x:v>1614</x:v>
      </x:c>
      <x:c r="BZ8" s="31" t="n">
        <x:v>1098</x:v>
      </x:c>
      <x:c r="CA8" s="31" t="n">
        <x:v>516</x:v>
      </x:c>
      <x:c r="CB8" s="31" t="n">
        <x:v>1071</x:v>
      </x:c>
      <x:c r="CC8" s="31" t="n">
        <x:v>367</x:v>
      </x:c>
      <x:c r="CD8" s="31" t="n">
        <x:v>704</x:v>
      </x:c>
      <x:c r="CE8" s="31" t="n">
        <x:v>808</x:v>
      </x:c>
      <x:c r="CF8" s="31" t="n">
        <x:v>605</x:v>
      </x:c>
      <x:c r="CG8" s="31" t="n">
        <x:v>203</x:v>
      </x:c>
      <x:c r="CH8" s="31" t="n">
        <x:v>13922</x:v>
      </x:c>
      <x:c r="CI8" s="31" t="n">
        <x:v>7054</x:v>
      </x:c>
      <x:c r="CJ8" s="31" t="n">
        <x:v>6868</x:v>
      </x:c>
      <x:c r="CK8" s="31" t="n">
        <x:v>12742</x:v>
      </x:c>
      <x:c r="CL8" s="31" t="n">
        <x:v>6418</x:v>
      </x:c>
      <x:c r="CM8" s="31" t="n">
        <x:v>6324</x:v>
      </x:c>
      <x:c r="CN8" s="31" t="n">
        <x:v>843</x:v>
      </x:c>
      <x:c r="CO8" s="31" t="n">
        <x:v>458</x:v>
      </x:c>
      <x:c r="CP8" s="31" t="n">
        <x:v>385</x:v>
      </x:c>
      <x:c r="CQ8" s="31" t="n">
        <x:v>723</x:v>
      </x:c>
      <x:c r="CR8" s="31" t="n">
        <x:v>372</x:v>
      </x:c>
      <x:c r="CS8" s="31" t="n">
        <x:v>351</x:v>
      </x:c>
      <x:c r="CT8" s="31" t="n">
        <x:v>1740</x:v>
      </x:c>
      <x:c r="CU8" s="31" t="n">
        <x:v>885</x:v>
      </x:c>
      <x:c r="CV8" s="31" t="n">
        <x:v>855</x:v>
      </x:c>
      <x:c r="CW8" s="31" t="n">
        <x:v>2355</x:v>
      </x:c>
      <x:c r="CX8" s="31" t="n">
        <x:v>1210</x:v>
      </x:c>
      <x:c r="CY8" s="31" t="n">
        <x:v>1145</x:v>
      </x:c>
      <x:c r="CZ8" s="31" t="n">
        <x:v>1857</x:v>
      </x:c>
      <x:c r="DA8" s="31" t="n">
        <x:v>950</x:v>
      </x:c>
      <x:c r="DB8" s="31" t="n">
        <x:v>907</x:v>
      </x:c>
      <x:c r="DC8" s="31" t="n">
        <x:v>5555</x:v>
      </x:c>
      <x:c r="DD8" s="31" t="n">
        <x:v>2816</x:v>
      </x:c>
      <x:c r="DE8" s="31" t="n">
        <x:v>2739</x:v>
      </x:c>
      <x:c r="DF8" s="31" t="n">
        <x:v>4439</x:v>
      </x:c>
      <x:c r="DG8" s="31" t="n">
        <x:v>2796</x:v>
      </x:c>
      <x:c r="DH8" s="31" t="n">
        <x:v>1643</x:v>
      </x:c>
      <x:c r="DI8" s="31" t="n">
        <x:v>2716</x:v>
      </x:c>
      <x:c r="DJ8" s="31" t="n">
        <x:v>1809</x:v>
      </x:c>
      <x:c r="DK8" s="31" t="n">
        <x:v>907</x:v>
      </x:c>
      <x:c r="DL8" s="31" t="n">
        <x:v>276</x:v>
      </x:c>
      <x:c r="DM8" s="31" t="n">
        <x:v>131</x:v>
      </x:c>
      <x:c r="DN8" s="31" t="n">
        <x:v>145</x:v>
      </x:c>
      <x:c r="DO8" s="31" t="n">
        <x:v>214</x:v>
      </x:c>
      <x:c r="DP8" s="31" t="n">
        <x:v>83</x:v>
      </x:c>
      <x:c r="DQ8" s="31" t="n">
        <x:v>131</x:v>
      </x:c>
      <x:c r="DR8" s="31" t="n">
        <x:v>178</x:v>
      </x:c>
      <x:c r="DS8" s="31" t="n">
        <x:v>178</x:v>
      </x:c>
      <x:c r="DT8" s="31" t="n">
        <x:v>0</x:v>
      </x:c>
      <x:c r="DU8" s="31" t="n">
        <x:v>98</x:v>
      </x:c>
      <x:c r="DV8" s="31" t="n">
        <x:v>98</x:v>
      </x:c>
      <x:c r="DW8" s="31" t="n">
        <x:v>0</x:v>
      </x:c>
      <x:c r="DX8" s="31" t="n">
        <x:v>102</x:v>
      </x:c>
      <x:c r="DY8" s="31" t="n">
        <x:v>27</x:v>
      </x:c>
      <x:c r="DZ8" s="31" t="n">
        <x:v>75</x:v>
      </x:c>
      <x:c r="EA8" s="31" t="n">
        <x:v>228</x:v>
      </x:c>
      <x:c r="EB8" s="31" t="n">
        <x:v>120</x:v>
      </x:c>
      <x:c r="EC8" s="31" t="n">
        <x:v>108</x:v>
      </x:c>
      <x:c r="ED8" s="31" t="n">
        <x:v>104</x:v>
      </x:c>
      <x:c r="EE8" s="31" t="n">
        <x:v>48</x:v>
      </x:c>
      <x:c r="EF8" s="31" t="n">
        <x:v>56</x:v>
      </x:c>
      <x:c r="EG8" s="31" t="n">
        <x:v>321</x:v>
      </x:c>
      <x:c r="EH8" s="31" t="n">
        <x:v>180</x:v>
      </x:c>
      <x:c r="EI8" s="31" t="n">
        <x:v>141</x:v>
      </x:c>
      <x:c r="EJ8" s="31" t="n">
        <x:v>202</x:v>
      </x:c>
      <x:c r="EK8" s="31" t="n">
        <x:v>122</x:v>
      </x:c>
      <x:c r="EL8" s="31" t="n">
        <x:v>80</x:v>
      </x:c>
      <x:c r="EM8" s="31" t="n">
        <x:v>13127</x:v>
      </x:c>
      <x:c r="EN8" s="31" t="n">
        <x:v>6656</x:v>
      </x:c>
      <x:c r="EO8" s="31" t="n">
        <x:v>6471</x:v>
      </x:c>
      <x:c r="EP8" s="31" t="n">
        <x:v>10043</x:v>
      </x:c>
      <x:c r="EQ8" s="31" t="n">
        <x:v>4979</x:v>
      </x:c>
      <x:c r="ER8" s="31" t="n">
        <x:v>5064</x:v>
      </x:c>
      <x:c r="ES8" s="31" t="n">
        <x:v>681</x:v>
      </x:c>
      <x:c r="ET8" s="31" t="n">
        <x:v>337</x:v>
      </x:c>
      <x:c r="EU8" s="31" t="n">
        <x:v>344</x:v>
      </x:c>
      <x:c r="EV8" s="31" t="n">
        <x:v>30</x:v>
      </x:c>
      <x:c r="EW8" s="31" t="n">
        <x:v>19</x:v>
      </x:c>
      <x:c r="EX8" s="31" t="n">
        <x:v>11</x:v>
      </x:c>
      <x:c r="EY8" s="31" t="n">
        <x:v>2019</x:v>
      </x:c>
      <x:c r="EZ8" s="31" t="n">
        <x:v>1142</x:v>
      </x:c>
      <x:c r="FA8" s="31" t="n">
        <x:v>877</x:v>
      </x:c>
      <x:c r="FB8" s="31" t="n">
        <x:v>354</x:v>
      </x:c>
      <x:c r="FC8" s="31" t="n">
        <x:v>179</x:v>
      </x:c>
      <x:c r="FD8" s="31" t="n">
        <x:v>175</x:v>
      </x:c>
      <x:c r="FE8" s="31" t="n">
        <x:v>3822</x:v>
      </x:c>
      <x:c r="FF8" s="31" t="n">
        <x:v>3815</x:v>
      </x:c>
      <x:c r="FG8" s="31" t="n">
        <x:v>3376</x:v>
      </x:c>
      <x:c r="FH8" s="31" t="n">
        <x:v>221</x:v>
      </x:c>
      <x:c r="FI8" s="31" t="n">
        <x:v>218</x:v>
      </x:c>
      <x:c r="FJ8" s="31" t="n">
        <x:v>7</x:v>
      </x:c>
      <x:c r="FK8" s="31" t="n">
        <x:v>3376</x:v>
      </x:c>
      <x:c r="FL8" s="31" t="n">
        <x:v>3040</x:v>
      </x:c>
      <x:c r="FM8" s="31" t="n">
        <x:v>25</x:v>
      </x:c>
      <x:c r="FN8" s="31" t="n">
        <x:v>1</x:v>
      </x:c>
      <x:c r="FO8" s="31" t="n">
        <x:v>207</x:v>
      </x:c>
      <x:c r="FP8" s="31" t="n">
        <x:v>103</x:v>
      </x:c>
      <x:c r="FQ8" s="31" t="n">
        <x:v>3376</x:v>
      </x:c>
      <x:c r="FR8" s="31" t="n">
        <x:v>2270</x:v>
      </x:c>
      <x:c r="FS8" s="31" t="n">
        <x:v>160</x:v>
      </x:c>
      <x:c r="FT8" s="31" t="n">
        <x:v>484</x:v>
      </x:c>
      <x:c r="FU8" s="31" t="n">
        <x:v>30</x:v>
      </x:c>
      <x:c r="FV8" s="31" t="n">
        <x:v>432</x:v>
      </x:c>
      <x:c r="FW8" s="31" t="n">
        <x:v>3376</x:v>
      </x:c>
      <x:c r="FX8" s="31" t="n">
        <x:v>1896</x:v>
      </x:c>
      <x:c r="FY8" s="31" t="n">
        <x:v>341</x:v>
      </x:c>
      <x:c r="FZ8" s="31" t="n">
        <x:v>1</x:v>
      </x:c>
      <x:c r="GA8" s="31" t="n">
        <x:v>1009</x:v>
      </x:c>
      <x:c r="GB8" s="31" t="n">
        <x:v>66</x:v>
      </x:c>
      <x:c r="GC8" s="31" t="n">
        <x:v>11</x:v>
      </x:c>
      <x:c r="GD8" s="31" t="n">
        <x:v>2</x:v>
      </x:c>
      <x:c r="GE8" s="31" t="n">
        <x:v>15</x:v>
      </x:c>
      <x:c r="GF8" s="31" t="n">
        <x:v>35</x:v>
      </x:c>
      <x:c r="GG8" s="31" t="n">
        <x:v>3376</x:v>
      </x:c>
      <x:c r="GH8" s="31" t="n">
        <x:v>319</x:v>
      </x:c>
      <x:c r="GI8" s="31" t="n">
        <x:v>119</x:v>
      </x:c>
      <x:c r="GJ8" s="31" t="n">
        <x:v>1429</x:v>
      </x:c>
      <x:c r="GK8" s="31" t="n">
        <x:v>15</x:v>
      </x:c>
      <x:c r="GL8" s="31" t="n">
        <x:v>284</x:v>
      </x:c>
      <x:c r="GM8" s="31" t="n">
        <x:v>191</x:v>
      </x:c>
      <x:c r="GN8" s="31" t="n">
        <x:v>1019</x:v>
      </x:c>
      <x:c r="GO8" s="31" t="n">
        <x:v>3376</x:v>
      </x:c>
      <x:c r="GP8" s="31" t="n">
        <x:v>863</x:v>
      </x:c>
      <x:c r="GQ8" s="31" t="n">
        <x:v>14</x:v>
      </x:c>
      <x:c r="GR8" s="31" t="n">
        <x:v>2443</x:v>
      </x:c>
      <x:c r="GS8" s="31" t="n">
        <x:v>17</x:v>
      </x:c>
      <x:c r="GT8" s="31" t="n">
        <x:v>4</x:v>
      </x:c>
      <x:c r="GU8" s="31" t="n">
        <x:v>0</x:v>
      </x:c>
      <x:c r="GV8" s="31" t="n">
        <x:v>1</x:v>
      </x:c>
      <x:c r="GW8" s="31" t="n">
        <x:v>34</x:v>
      </x:c>
      <x:c r="GX8" s="31" t="n">
        <x:v>3376</x:v>
      </x:c>
      <x:c r="GY8" s="31" t="n">
        <x:v>21</x:v>
      </x:c>
      <x:c r="GZ8" s="31" t="n">
        <x:v>5</x:v>
      </x:c>
      <x:c r="HA8" s="31" t="n">
        <x:v>95</x:v>
      </x:c>
      <x:c r="HB8" s="31" t="n">
        <x:v>32</x:v>
      </x:c>
      <x:c r="HC8" s="31" t="n">
        <x:v>3005</x:v>
      </x:c>
      <x:c r="HD8" s="31" t="n">
        <x:v>180</x:v>
      </x:c>
      <x:c r="HE8" s="31" t="n">
        <x:v>38</x:v>
      </x:c>
      <x:c r="HF8" s="31" t="n">
        <x:v>3376</x:v>
      </x:c>
      <x:c r="HG8" s="31" t="n">
        <x:v>1032</x:v>
      </x:c>
      <x:c r="HH8" s="31" t="n">
        <x:v>1218</x:v>
      </x:c>
      <x:c r="HI8" s="31" t="n">
        <x:v>2277</x:v>
      </x:c>
      <x:c r="HJ8" s="31" t="n">
        <x:v>1353</x:v>
      </x:c>
      <x:c r="HK8" s="31" t="str">
        <x:v>Ficha_INE_Yande_Yari.pdf</x:v>
      </x:c>
      <x:c r="HL8" s="31" t="str">
        <x:v>Instituto Nacional de Estadística, Censo de Población y Vivienda 2024</x:v>
      </x:c>
    </x:row>
    <x:row r="9" ht="20" customHeight="1">
      <x:c r="A9" s="31" t="str">
        <x:v>Charagua-04</x:v>
      </x:c>
      <x:c r="B9" s="31" t="str">
        <x:v>El Chore</x:v>
      </x:c>
      <x:c r="C9" s="31" t="n">
        <x:v>28</x:v>
      </x:c>
      <x:c r="D9" s="31" t="str">
        <x:v>Sí</x:v>
      </x:c>
      <x:c r="E9" s="31" t="str">
        <x:v>COCHABAMBA, SANTA CRUZ</x:v>
      </x:c>
      <x:c r="F9" s="31" t="str">
        <x:v>CARRASCO, ICHILO, SARA</x:v>
      </x:c>
      <x:c r="G9" s="31" t="str">
        <x:v>CHIMORÉ, YAPACANÍ, SAN JUAN, MÁS 1</x:v>
      </x:c>
      <x:c r="H9" s="31" t="n">
        <x:v>9452</x:v>
      </x:c>
      <x:c r="I9" s="31" t="n">
        <x:v>6615</x:v>
      </x:c>
      <x:c r="J9" s="31" t="n">
        <x:v>2837</x:v>
      </x:c>
      <x:c r="K9" s="31" t="n">
        <x:v>1569</x:v>
      </x:c>
      <x:c r="L9" s="31" t="n">
        <x:v>921</x:v>
      </x:c>
      <x:c r="M9" s="31" t="n">
        <x:v>648</x:v>
      </x:c>
      <x:c r="N9" s="31" t="n">
        <x:v>3972</x:v>
      </x:c>
      <x:c r="O9" s="31" t="n">
        <x:v>2872</x:v>
      </x:c>
      <x:c r="P9" s="31" t="n">
        <x:v>1100</x:v>
      </x:c>
      <x:c r="Q9" s="31" t="n">
        <x:v>3080</x:v>
      </x:c>
      <x:c r="R9" s="31" t="n">
        <x:v>2202</x:v>
      </x:c>
      <x:c r="S9" s="31" t="n">
        <x:v>878</x:v>
      </x:c>
      <x:c r="T9" s="31" t="n">
        <x:v>831</x:v>
      </x:c>
      <x:c r="U9" s="31" t="n">
        <x:v>620</x:v>
      </x:c>
      <x:c r="V9" s="31" t="n">
        <x:v>211</x:v>
      </x:c>
      <x:c r="W9" s="31" t="n">
        <x:v>9452</x:v>
      </x:c>
      <x:c r="X9" s="31" t="n">
        <x:v>6615</x:v>
      </x:c>
      <x:c r="Y9" s="31" t="n">
        <x:v>2837</x:v>
      </x:c>
      <x:c r="Z9" s="31" t="n">
        <x:v>1787</x:v>
      </x:c>
      <x:c r="AA9" s="31" t="n">
        <x:v>1170</x:v>
      </x:c>
      <x:c r="AB9" s="31" t="n">
        <x:v>617</x:v>
      </x:c>
      <x:c r="AC9" s="31" t="n">
        <x:v>7522</x:v>
      </x:c>
      <x:c r="AD9" s="31" t="n">
        <x:v>5343</x:v>
      </x:c>
      <x:c r="AE9" s="31" t="n">
        <x:v>2179</x:v>
      </x:c>
      <x:c r="AF9" s="31" t="n">
        <x:v>32</x:v>
      </x:c>
      <x:c r="AG9" s="31" t="n">
        <x:v>20</x:v>
      </x:c>
      <x:c r="AH9" s="31" t="n">
        <x:v>12</x:v>
      </x:c>
      <x:c r="AI9" s="31" t="n">
        <x:v>111</x:v>
      </x:c>
      <x:c r="AJ9" s="31" t="n">
        <x:v>82</x:v>
      </x:c>
      <x:c r="AK9" s="31" t="n">
        <x:v>29</x:v>
      </x:c>
      <x:c r="AL9" s="31" t="n">
        <x:v>9452</x:v>
      </x:c>
      <x:c r="AM9" s="31" t="n">
        <x:v>6615</x:v>
      </x:c>
      <x:c r="AN9" s="31" t="n">
        <x:v>2837</x:v>
      </x:c>
      <x:c r="AO9" s="31" t="n">
        <x:v>8739</x:v>
      </x:c>
      <x:c r="AP9" s="31" t="n">
        <x:v>6102</x:v>
      </x:c>
      <x:c r="AQ9" s="31" t="n">
        <x:v>2637</x:v>
      </x:c>
      <x:c r="AR9" s="31" t="n">
        <x:v>575</x:v>
      </x:c>
      <x:c r="AS9" s="31" t="n">
        <x:v>409</x:v>
      </x:c>
      <x:c r="AT9" s="31" t="n">
        <x:v>166</x:v>
      </x:c>
      <x:c r="AU9" s="31" t="n">
        <x:v>1</x:v>
      </x:c>
      <x:c r="AV9" s="31" t="n">
        <x:v>0</x:v>
      </x:c>
      <x:c r="AW9" s="31" t="n">
        <x:v>1</x:v>
      </x:c>
      <x:c r="AX9" s="31" t="n">
        <x:v>137</x:v>
      </x:c>
      <x:c r="AY9" s="31" t="n">
        <x:v>104</x:v>
      </x:c>
      <x:c r="AZ9" s="31" t="n">
        <x:v>33</x:v>
      </x:c>
      <x:c r="BA9" s="31" t="n">
        <x:v>7873</x:v>
      </x:c>
      <x:c r="BB9" s="31" t="n">
        <x:v>5687</x:v>
      </x:c>
      <x:c r="BC9" s="31" t="n">
        <x:v>2186</x:v>
      </x:c>
      <x:c r="BD9" s="31" t="n">
        <x:v>362</x:v>
      </x:c>
      <x:c r="BE9" s="31" t="n">
        <x:v>151</x:v>
      </x:c>
      <x:c r="BF9" s="31" t="n">
        <x:v>211</x:v>
      </x:c>
      <x:c r="BG9" s="31" t="n">
        <x:v>2961</x:v>
      </x:c>
      <x:c r="BH9" s="31" t="n">
        <x:v>2119</x:v>
      </x:c>
      <x:c r="BI9" s="31" t="n">
        <x:v>842</x:v>
      </x:c>
      <x:c r="BJ9" s="31" t="n">
        <x:v>3506</x:v>
      </x:c>
      <x:c r="BK9" s="31" t="n">
        <x:v>2679</x:v>
      </x:c>
      <x:c r="BL9" s="31" t="n">
        <x:v>827</x:v>
      </x:c>
      <x:c r="BM9" s="31" t="n">
        <x:v>1016</x:v>
      </x:c>
      <x:c r="BN9" s="31" t="n">
        <x:v>723</x:v>
      </x:c>
      <x:c r="BO9" s="31" t="n">
        <x:v>293</x:v>
      </x:c>
      <x:c r="BP9" s="31" t="n">
        <x:v>28</x:v>
      </x:c>
      <x:c r="BQ9" s="31" t="n">
        <x:v>15</x:v>
      </x:c>
      <x:c r="BR9" s="31" t="n">
        <x:v>13</x:v>
      </x:c>
      <x:c r="BS9" s="31" t="n">
        <x:v>7472</x:v>
      </x:c>
      <x:c r="BT9" s="31" t="n">
        <x:v>5615</x:v>
      </x:c>
      <x:c r="BU9" s="31" t="n">
        <x:v>1857</x:v>
      </x:c>
      <x:c r="BV9" s="31" t="n">
        <x:v>781</x:v>
      </x:c>
      <x:c r="BW9" s="31" t="n">
        <x:v>643</x:v>
      </x:c>
      <x:c r="BX9" s="31" t="n">
        <x:v>138</x:v>
      </x:c>
      <x:c r="BY9" s="31" t="n">
        <x:v>5768</x:v>
      </x:c>
      <x:c r="BZ9" s="31" t="n">
        <x:v>4379</x:v>
      </x:c>
      <x:c r="CA9" s="31" t="n">
        <x:v>1389</x:v>
      </x:c>
      <x:c r="CB9" s="31" t="n">
        <x:v>386</x:v>
      </x:c>
      <x:c r="CC9" s="31" t="n">
        <x:v>207</x:v>
      </x:c>
      <x:c r="CD9" s="31" t="n">
        <x:v>179</x:v>
      </x:c>
      <x:c r="CE9" s="31" t="n">
        <x:v>537</x:v>
      </x:c>
      <x:c r="CF9" s="31" t="n">
        <x:v>386</x:v>
      </x:c>
      <x:c r="CG9" s="31" t="n">
        <x:v>151</x:v>
      </x:c>
      <x:c r="CH9" s="31" t="n">
        <x:v>9452</x:v>
      </x:c>
      <x:c r="CI9" s="31" t="n">
        <x:v>6615</x:v>
      </x:c>
      <x:c r="CJ9" s="31" t="n">
        <x:v>2837</x:v>
      </x:c>
      <x:c r="CK9" s="31" t="n">
        <x:v>7678</x:v>
      </x:c>
      <x:c r="CL9" s="31" t="n">
        <x:v>5273</x:v>
      </x:c>
      <x:c r="CM9" s="31" t="n">
        <x:v>2405</x:v>
      </x:c>
      <x:c r="CN9" s="31" t="n">
        <x:v>515</x:v>
      </x:c>
      <x:c r="CO9" s="31" t="n">
        <x:v>363</x:v>
      </x:c>
      <x:c r="CP9" s="31" t="n">
        <x:v>152</x:v>
      </x:c>
      <x:c r="CQ9" s="31" t="n">
        <x:v>1847</x:v>
      </x:c>
      <x:c r="CR9" s="31" t="n">
        <x:v>1260</x:v>
      </x:c>
      <x:c r="CS9" s="31" t="n">
        <x:v>587</x:v>
      </x:c>
      <x:c r="CT9" s="31" t="n">
        <x:v>665</x:v>
      </x:c>
      <x:c r="CU9" s="31" t="n">
        <x:v>461</x:v>
      </x:c>
      <x:c r="CV9" s="31" t="n">
        <x:v>204</x:v>
      </x:c>
      <x:c r="CW9" s="31" t="n">
        <x:v>2333</x:v>
      </x:c>
      <x:c r="CX9" s="31" t="n">
        <x:v>1666</x:v>
      </x:c>
      <x:c r="CY9" s="31" t="n">
        <x:v>667</x:v>
      </x:c>
      <x:c r="CZ9" s="31" t="n">
        <x:v>4207</x:v>
      </x:c>
      <x:c r="DA9" s="31" t="n">
        <x:v>2965</x:v>
      </x:c>
      <x:c r="DB9" s="31" t="n">
        <x:v>1242</x:v>
      </x:c>
      <x:c r="DC9" s="31" t="n">
        <x:v>6447</x:v>
      </x:c>
      <x:c r="DD9" s="31" t="n">
        <x:v>4491</x:v>
      </x:c>
      <x:c r="DE9" s="31" t="n">
        <x:v>1956</x:v>
      </x:c>
      <x:c r="DF9" s="31" t="n">
        <x:v>7472</x:v>
      </x:c>
      <x:c r="DG9" s="31" t="n">
        <x:v>5615</x:v>
      </x:c>
      <x:c r="DH9" s="31" t="n">
        <x:v>1857</x:v>
      </x:c>
      <x:c r="DI9" s="31" t="n">
        <x:v>6187</x:v>
      </x:c>
      <x:c r="DJ9" s="31" t="n">
        <x:v>4806</x:v>
      </x:c>
      <x:c r="DK9" s="31" t="n">
        <x:v>1381</x:v>
      </x:c>
      <x:c r="DL9" s="31" t="n">
        <x:v>342</x:v>
      </x:c>
      <x:c r="DM9" s="31" t="n">
        <x:v>161</x:v>
      </x:c>
      <x:c r="DN9" s="31" t="n">
        <x:v>181</x:v>
      </x:c>
      <x:c r="DO9" s="31" t="n">
        <x:v>130</x:v>
      </x:c>
      <x:c r="DP9" s="31" t="n">
        <x:v>97</x:v>
      </x:c>
      <x:c r="DQ9" s="31" t="n">
        <x:v>33</x:v>
      </x:c>
      <x:c r="DR9" s="31" t="n">
        <x:v>215</x:v>
      </x:c>
      <x:c r="DS9" s="31" t="n">
        <x:v>210</x:v>
      </x:c>
      <x:c r="DT9" s="31" t="n">
        <x:v>5</x:v>
      </x:c>
      <x:c r="DU9" s="31" t="n">
        <x:v>145</x:v>
      </x:c>
      <x:c r="DV9" s="31" t="n">
        <x:v>143</x:v>
      </x:c>
      <x:c r="DW9" s="31" t="n">
        <x:v>2</x:v>
      </x:c>
      <x:c r="DX9" s="31" t="n">
        <x:v>78</x:v>
      </x:c>
      <x:c r="DY9" s="31" t="n">
        <x:v>9</x:v>
      </x:c>
      <x:c r="DZ9" s="31" t="n">
        <x:v>69</x:v>
      </x:c>
      <x:c r="EA9" s="31" t="n">
        <x:v>53</x:v>
      </x:c>
      <x:c r="EB9" s="31" t="n">
        <x:v>31</x:v>
      </x:c>
      <x:c r="EC9" s="31" t="n">
        <x:v>22</x:v>
      </x:c>
      <x:c r="ED9" s="31" t="n">
        <x:v>26</x:v>
      </x:c>
      <x:c r="EE9" s="31" t="n">
        <x:v>12</x:v>
      </x:c>
      <x:c r="EF9" s="31" t="n">
        <x:v>14</x:v>
      </x:c>
      <x:c r="EG9" s="31" t="n">
        <x:v>171</x:v>
      </x:c>
      <x:c r="EH9" s="31" t="n">
        <x:v>106</x:v>
      </x:c>
      <x:c r="EI9" s="31" t="n">
        <x:v>65</x:v>
      </x:c>
      <x:c r="EJ9" s="31" t="n">
        <x:v>125</x:v>
      </x:c>
      <x:c r="EK9" s="31" t="n">
        <x:v>40</x:v>
      </x:c>
      <x:c r="EL9" s="31" t="n">
        <x:v>85</x:v>
      </x:c>
      <x:c r="EM9" s="31" t="n">
        <x:v>9314</x:v>
      </x:c>
      <x:c r="EN9" s="31" t="n">
        <x:v>6511</x:v>
      </x:c>
      <x:c r="EO9" s="31" t="n">
        <x:v>2803</x:v>
      </x:c>
      <x:c r="EP9" s="31" t="n">
        <x:v>6880</x:v>
      </x:c>
      <x:c r="EQ9" s="31" t="n">
        <x:v>4635</x:v>
      </x:c>
      <x:c r="ER9" s="31" t="n">
        <x:v>2245</x:v>
      </x:c>
      <x:c r="ES9" s="31" t="n">
        <x:v>211</x:v>
      </x:c>
      <x:c r="ET9" s="31" t="n">
        <x:v>145</x:v>
      </x:c>
      <x:c r="EU9" s="31" t="n">
        <x:v>66</x:v>
      </x:c>
      <x:c r="EV9" s="31" t="n">
        <x:v>27</x:v>
      </x:c>
      <x:c r="EW9" s="31" t="n">
        <x:v>24</x:v>
      </x:c>
      <x:c r="EX9" s="31" t="n">
        <x:v>3</x:v>
      </x:c>
      <x:c r="EY9" s="31" t="n">
        <x:v>1934</x:v>
      </x:c>
      <x:c r="EZ9" s="31" t="n">
        <x:v>1533</x:v>
      </x:c>
      <x:c r="FA9" s="31" t="n">
        <x:v>401</x:v>
      </x:c>
      <x:c r="FB9" s="31" t="n">
        <x:v>262</x:v>
      </x:c>
      <x:c r="FC9" s="31" t="n">
        <x:v>174</x:v>
      </x:c>
      <x:c r="FD9" s="31" t="n">
        <x:v>88</x:v>
      </x:c>
      <x:c r="FE9" s="31" t="n">
        <x:v>5575</x:v>
      </x:c>
      <x:c r="FF9" s="31" t="n">
        <x:v>5555</x:v>
      </x:c>
      <x:c r="FG9" s="31" t="n">
        <x:v>5298</x:v>
      </x:c>
      <x:c r="FH9" s="31" t="n">
        <x:v>184</x:v>
      </x:c>
      <x:c r="FI9" s="31" t="n">
        <x:v>73</x:v>
      </x:c>
      <x:c r="FJ9" s="31" t="n">
        <x:v>20</x:v>
      </x:c>
      <x:c r="FK9" s="31" t="n">
        <x:v>5298</x:v>
      </x:c>
      <x:c r="FL9" s="31" t="n">
        <x:v>4927</x:v>
      </x:c>
      <x:c r="FM9" s="31" t="n">
        <x:v>14</x:v>
      </x:c>
      <x:c r="FN9" s="31" t="n">
        <x:v>6</x:v>
      </x:c>
      <x:c r="FO9" s="31" t="n">
        <x:v>62</x:v>
      </x:c>
      <x:c r="FP9" s="31" t="n">
        <x:v>289</x:v>
      </x:c>
      <x:c r="FQ9" s="31" t="n">
        <x:v>5298</x:v>
      </x:c>
      <x:c r="FR9" s="31" t="n">
        <x:v>15</x:v>
      </x:c>
      <x:c r="FS9" s="31" t="n">
        <x:v>99</x:v>
      </x:c>
      <x:c r="FT9" s="31" t="n">
        <x:v>873</x:v>
      </x:c>
      <x:c r="FU9" s="31" t="n">
        <x:v>236</x:v>
      </x:c>
      <x:c r="FV9" s="31" t="n">
        <x:v>4075</x:v>
      </x:c>
      <x:c r="FW9" s="31" t="n">
        <x:v>5298</x:v>
      </x:c>
      <x:c r="FX9" s="31" t="n">
        <x:v>277</x:v>
      </x:c>
      <x:c r="FY9" s="31" t="n">
        <x:v>129</x:v>
      </x:c>
      <x:c r="FZ9" s="31" t="n">
        <x:v>5</x:v>
      </x:c>
      <x:c r="GA9" s="31" t="n">
        <x:v>963</x:v>
      </x:c>
      <x:c r="GB9" s="31" t="n">
        <x:v>1900</x:v>
      </x:c>
      <x:c r="GC9" s="31" t="n">
        <x:v>1225</x:v>
      </x:c>
      <x:c r="GD9" s="31" t="n">
        <x:v>63</x:v>
      </x:c>
      <x:c r="GE9" s="31" t="n">
        <x:v>482</x:v>
      </x:c>
      <x:c r="GF9" s="31" t="n">
        <x:v>254</x:v>
      </x:c>
      <x:c r="GG9" s="31" t="n">
        <x:v>5298</x:v>
      </x:c>
      <x:c r="GH9" s="31" t="n">
        <x:v>42</x:v>
      </x:c>
      <x:c r="GI9" s="31" t="n">
        <x:v>37</x:v>
      </x:c>
      <x:c r="GJ9" s="31" t="n">
        <x:v>926</x:v>
      </x:c>
      <x:c r="GK9" s="31" t="n">
        <x:v>27</x:v>
      </x:c>
      <x:c r="GL9" s="31" t="n">
        <x:v>211</x:v>
      </x:c>
      <x:c r="GM9" s="31" t="n">
        <x:v>224</x:v>
      </x:c>
      <x:c r="GN9" s="31" t="n">
        <x:v>3831</x:v>
      </x:c>
      <x:c r="GO9" s="31" t="n">
        <x:v>5298</x:v>
      </x:c>
      <x:c r="GP9" s="31" t="n">
        <x:v>599</x:v>
      </x:c>
      <x:c r="GQ9" s="31" t="n">
        <x:v>17</x:v>
      </x:c>
      <x:c r="GR9" s="31" t="n">
        <x:v>4646</x:v>
      </x:c>
      <x:c r="GS9" s="31" t="n">
        <x:v>13</x:v>
      </x:c>
      <x:c r="GT9" s="31" t="n">
        <x:v>2</x:v>
      </x:c>
      <x:c r="GU9" s="31" t="n">
        <x:v>1</x:v>
      </x:c>
      <x:c r="GV9" s="31" t="n">
        <x:v>3</x:v>
      </x:c>
      <x:c r="GW9" s="31" t="n">
        <x:v>17</x:v>
      </x:c>
      <x:c r="GX9" s="31" t="n">
        <x:v>5298</x:v>
      </x:c>
      <x:c r="GY9" s="31" t="n">
        <x:v>11</x:v>
      </x:c>
      <x:c r="GZ9" s="31" t="n">
        <x:v>8</x:v>
      </x:c>
      <x:c r="HA9" s="31" t="n">
        <x:v>69</x:v>
      </x:c>
      <x:c r="HB9" s="31" t="n">
        <x:v>28</x:v>
      </x:c>
      <x:c r="HC9" s="31" t="n">
        <x:v>4317</x:v>
      </x:c>
      <x:c r="HD9" s="31" t="n">
        <x:v>754</x:v>
      </x:c>
      <x:c r="HE9" s="31" t="n">
        <x:v>111</x:v>
      </x:c>
      <x:c r="HF9" s="31" t="n">
        <x:v>5298</x:v>
      </x:c>
      <x:c r="HG9" s="31" t="n">
        <x:v>2811</x:v>
      </x:c>
      <x:c r="HH9" s="31" t="n">
        <x:v>173</x:v>
      </x:c>
      <x:c r="HI9" s="31" t="n">
        <x:v>3705</x:v>
      </x:c>
      <x:c r="HJ9" s="31" t="n">
        <x:v>1453</x:v>
      </x:c>
      <x:c r="HK9" s="31" t="str">
        <x:v>Ficha_INE_El_Chore.pdf</x:v>
      </x:c>
      <x:c r="HL9" s="31" t="str">
        <x:v>Instituto Nacional de Estadística, Censo de Población y Vivienda 2024</x:v>
      </x:c>
    </x:row>
    <x:row r="10" ht="20" customHeight="1">
      <x:c r="A10" s="31" t="str">
        <x:v>AP-2101</x:v>
      </x:c>
      <x:c r="B10" s="31" t="str">
        <x:v>Aguarague</x:v>
      </x:c>
      <x:c r="C10" s="31" t="n">
        <x:v>5</x:v>
      </x:c>
      <x:c r="D10" s="31" t="str">
        <x:v>Sí</x:v>
      </x:c>
      <x:c r="E10" s="31" t="str">
        <x:v>TARIJA</x:v>
      </x:c>
      <x:c r="F10" s="31" t="str">
        <x:v>GRAN CHACO</x:v>
      </x:c>
      <x:c r="G10" s="31" t="str">
        <x:v>YACUIBA, CARAPARÍ, VILLA MONTES</x:v>
      </x:c>
      <x:c r="H10" s="31" t="n">
        <x:v>7349</x:v>
      </x:c>
      <x:c r="I10" s="31" t="n">
        <x:v>4037</x:v>
      </x:c>
      <x:c r="J10" s="31" t="n">
        <x:v>3312</x:v>
      </x:c>
      <x:c r="K10" s="31" t="n">
        <x:v>2630</x:v>
      </x:c>
      <x:c r="L10" s="31" t="n">
        <x:v>1479</x:v>
      </x:c>
      <x:c r="M10" s="31" t="n">
        <x:v>1151</x:v>
      </x:c>
      <x:c r="N10" s="31" t="n">
        <x:v>2468</x:v>
      </x:c>
      <x:c r="O10" s="31" t="n">
        <x:v>1381</x:v>
      </x:c>
      <x:c r="P10" s="31" t="n">
        <x:v>1087</x:v>
      </x:c>
      <x:c r="Q10" s="31" t="n">
        <x:v>1505</x:v>
      </x:c>
      <x:c r="R10" s="31" t="n">
        <x:v>802</x:v>
      </x:c>
      <x:c r="S10" s="31" t="n">
        <x:v>703</x:v>
      </x:c>
      <x:c r="T10" s="31" t="n">
        <x:v>746</x:v>
      </x:c>
      <x:c r="U10" s="31" t="n">
        <x:v>375</x:v>
      </x:c>
      <x:c r="V10" s="31" t="n">
        <x:v>371</x:v>
      </x:c>
      <x:c r="W10" s="31" t="n">
        <x:v>7349</x:v>
      </x:c>
      <x:c r="X10" s="31" t="n">
        <x:v>4037</x:v>
      </x:c>
      <x:c r="Y10" s="31" t="n">
        <x:v>3312</x:v>
      </x:c>
      <x:c r="Z10" s="31" t="n">
        <x:v>3693</x:v>
      </x:c>
      <x:c r="AA10" s="31" t="n">
        <x:v>1857</x:v>
      </x:c>
      <x:c r="AB10" s="31" t="n">
        <x:v>1836</x:v>
      </x:c>
      <x:c r="AC10" s="31" t="n">
        <x:v>3529</x:v>
      </x:c>
      <x:c r="AD10" s="31" t="n">
        <x:v>2100</x:v>
      </x:c>
      <x:c r="AE10" s="31" t="n">
        <x:v>1429</x:v>
      </x:c>
      <x:c r="AF10" s="31" t="n">
        <x:v>50</x:v>
      </x:c>
      <x:c r="AG10" s="31" t="n">
        <x:v>36</x:v>
      </x:c>
      <x:c r="AH10" s="31" t="n">
        <x:v>14</x:v>
      </x:c>
      <x:c r="AI10" s="31" t="n">
        <x:v>77</x:v>
      </x:c>
      <x:c r="AJ10" s="31" t="n">
        <x:v>44</x:v>
      </x:c>
      <x:c r="AK10" s="31" t="n">
        <x:v>33</x:v>
      </x:c>
      <x:c r="AL10" s="31" t="n">
        <x:v>7349</x:v>
      </x:c>
      <x:c r="AM10" s="31" t="n">
        <x:v>4037</x:v>
      </x:c>
      <x:c r="AN10" s="31" t="n">
        <x:v>3312</x:v>
      </x:c>
      <x:c r="AO10" s="31" t="n">
        <x:v>6965</x:v>
      </x:c>
      <x:c r="AP10" s="31" t="n">
        <x:v>3759</x:v>
      </x:c>
      <x:c r="AQ10" s="31" t="n">
        <x:v>3206</x:v>
      </x:c>
      <x:c r="AR10" s="31" t="n">
        <x:v>309</x:v>
      </x:c>
      <x:c r="AS10" s="31" t="n">
        <x:v>235</x:v>
      </x:c>
      <x:c r="AT10" s="31" t="n">
        <x:v>74</x:v>
      </x:c>
      <x:c r="AU10" s="31" t="n">
        <x:v>6</x:v>
      </x:c>
      <x:c r="AV10" s="31" t="n">
        <x:v>5</x:v>
      </x:c>
      <x:c r="AW10" s="31" t="n">
        <x:v>1</x:v>
      </x:c>
      <x:c r="AX10" s="31" t="n">
        <x:v>69</x:v>
      </x:c>
      <x:c r="AY10" s="31" t="n">
        <x:v>38</x:v>
      </x:c>
      <x:c r="AZ10" s="31" t="n">
        <x:v>31</x:v>
      </x:c>
      <x:c r="BA10" s="31" t="n">
        <x:v>4831</x:v>
      </x:c>
      <x:c r="BB10" s="31" t="n">
        <x:v>2657</x:v>
      </x:c>
      <x:c r="BC10" s="31" t="n">
        <x:v>2174</x:v>
      </x:c>
      <x:c r="BD10" s="31" t="n">
        <x:v>163</x:v>
      </x:c>
      <x:c r="BE10" s="31" t="n">
        <x:v>58</x:v>
      </x:c>
      <x:c r="BF10" s="31" t="n">
        <x:v>105</x:v>
      </x:c>
      <x:c r="BG10" s="31" t="n">
        <x:v>831</x:v>
      </x:c>
      <x:c r="BH10" s="31" t="n">
        <x:v>441</x:v>
      </x:c>
      <x:c r="BI10" s="31" t="n">
        <x:v>390</x:v>
      </x:c>
      <x:c r="BJ10" s="31" t="n">
        <x:v>1948</x:v>
      </x:c>
      <x:c r="BK10" s="31" t="n">
        <x:v>1088</x:v>
      </x:c>
      <x:c r="BL10" s="31" t="n">
        <x:v>860</x:v>
      </x:c>
      <x:c r="BM10" s="31" t="n">
        <x:v>1866</x:v>
      </x:c>
      <x:c r="BN10" s="31" t="n">
        <x:v>1059</x:v>
      </x:c>
      <x:c r="BO10" s="31" t="n">
        <x:v>807</x:v>
      </x:c>
      <x:c r="BP10" s="31" t="n">
        <x:v>23</x:v>
      </x:c>
      <x:c r="BQ10" s="31" t="n">
        <x:v>11</x:v>
      </x:c>
      <x:c r="BR10" s="31" t="n">
        <x:v>12</x:v>
      </x:c>
      <x:c r="BS10" s="31" t="n">
        <x:v>3460</x:v>
      </x:c>
      <x:c r="BT10" s="31" t="n">
        <x:v>2113</x:v>
      </x:c>
      <x:c r="BU10" s="31" t="n">
        <x:v>1347</x:v>
      </x:c>
      <x:c r="BV10" s="31" t="n">
        <x:v>1593</x:v>
      </x:c>
      <x:c r="BW10" s="31" t="n">
        <x:v>1132</x:v>
      </x:c>
      <x:c r="BX10" s="31" t="n">
        <x:v>461</x:v>
      </x:c>
      <x:c r="BY10" s="31" t="n">
        <x:v>1281</x:v>
      </x:c>
      <x:c r="BZ10" s="31" t="n">
        <x:v>697</x:v>
      </x:c>
      <x:c r="CA10" s="31" t="n">
        <x:v>584</x:v>
      </x:c>
      <x:c r="CB10" s="31" t="n">
        <x:v>327</x:v>
      </x:c>
      <x:c r="CC10" s="31" t="n">
        <x:v>120</x:v>
      </x:c>
      <x:c r="CD10" s="31" t="n">
        <x:v>207</x:v>
      </x:c>
      <x:c r="CE10" s="31" t="n">
        <x:v>259</x:v>
      </x:c>
      <x:c r="CF10" s="31" t="n">
        <x:v>164</x:v>
      </x:c>
      <x:c r="CG10" s="31" t="n">
        <x:v>95</x:v>
      </x:c>
      <x:c r="CH10" s="31" t="n">
        <x:v>7349</x:v>
      </x:c>
      <x:c r="CI10" s="31" t="n">
        <x:v>4037</x:v>
      </x:c>
      <x:c r="CJ10" s="31" t="n">
        <x:v>3312</x:v>
      </x:c>
      <x:c r="CK10" s="31" t="n">
        <x:v>5476</x:v>
      </x:c>
      <x:c r="CL10" s="31" t="n">
        <x:v>2920</x:v>
      </x:c>
      <x:c r="CM10" s="31" t="n">
        <x:v>2556</x:v>
      </x:c>
      <x:c r="CN10" s="31" t="n">
        <x:v>1776</x:v>
      </x:c>
      <x:c r="CO10" s="31" t="n">
        <x:v>1017</x:v>
      </x:c>
      <x:c r="CP10" s="31" t="n">
        <x:v>759</x:v>
      </x:c>
      <x:c r="CQ10" s="31" t="n">
        <x:v>1664</x:v>
      </x:c>
      <x:c r="CR10" s="31" t="n">
        <x:v>959</x:v>
      </x:c>
      <x:c r="CS10" s="31" t="n">
        <x:v>705</x:v>
      </x:c>
      <x:c r="CT10" s="31" t="n">
        <x:v>559</x:v>
      </x:c>
      <x:c r="CU10" s="31" t="n">
        <x:v>337</x:v>
      </x:c>
      <x:c r="CV10" s="31" t="n">
        <x:v>222</x:v>
      </x:c>
      <x:c r="CW10" s="31" t="n">
        <x:v>1449</x:v>
      </x:c>
      <x:c r="CX10" s="31" t="n">
        <x:v>826</x:v>
      </x:c>
      <x:c r="CY10" s="31" t="n">
        <x:v>623</x:v>
      </x:c>
      <x:c r="CZ10" s="31" t="n">
        <x:v>3145</x:v>
      </x:c>
      <x:c r="DA10" s="31" t="n">
        <x:v>1720</x:v>
      </x:c>
      <x:c r="DB10" s="31" t="n">
        <x:v>1425</x:v>
      </x:c>
      <x:c r="DC10" s="31" t="n">
        <x:v>4429</x:v>
      </x:c>
      <x:c r="DD10" s="31" t="n">
        <x:v>2398</x:v>
      </x:c>
      <x:c r="DE10" s="31" t="n">
        <x:v>2031</x:v>
      </x:c>
      <x:c r="DF10" s="31" t="n">
        <x:v>3460</x:v>
      </x:c>
      <x:c r="DG10" s="31" t="n">
        <x:v>2113</x:v>
      </x:c>
      <x:c r="DH10" s="31" t="n">
        <x:v>1347</x:v>
      </x:c>
      <x:c r="DI10" s="31" t="n">
        <x:v>650</x:v>
      </x:c>
      <x:c r="DJ10" s="31" t="n">
        <x:v>396</x:v>
      </x:c>
      <x:c r="DK10" s="31" t="n">
        <x:v>254</x:v>
      </x:c>
      <x:c r="DL10" s="31" t="n">
        <x:v>464</x:v>
      </x:c>
      <x:c r="DM10" s="31" t="n">
        <x:v>178</x:v>
      </x:c>
      <x:c r="DN10" s="31" t="n">
        <x:v>286</x:v>
      </x:c>
      <x:c r="DO10" s="31" t="n">
        <x:v>162</x:v>
      </x:c>
      <x:c r="DP10" s="31" t="n">
        <x:v>101</x:v>
      </x:c>
      <x:c r="DQ10" s="31" t="n">
        <x:v>61</x:v>
      </x:c>
      <x:c r="DR10" s="31" t="n">
        <x:v>305</x:v>
      </x:c>
      <x:c r="DS10" s="31" t="n">
        <x:v>296</x:v>
      </x:c>
      <x:c r="DT10" s="31" t="n">
        <x:v>9</x:v>
      </x:c>
      <x:c r="DU10" s="31" t="n">
        <x:v>193</x:v>
      </x:c>
      <x:c r="DV10" s="31" t="n">
        <x:v>175</x:v>
      </x:c>
      <x:c r="DW10" s="31" t="n">
        <x:v>18</x:v>
      </x:c>
      <x:c r="DX10" s="31" t="n">
        <x:v>197</x:v>
      </x:c>
      <x:c r="DY10" s="31" t="n">
        <x:v>54</x:v>
      </x:c>
      <x:c r="DZ10" s="31" t="n">
        <x:v>143</x:v>
      </x:c>
      <x:c r="EA10" s="31" t="n">
        <x:v>159</x:v>
      </x:c>
      <x:c r="EB10" s="31" t="n">
        <x:v>49</x:v>
      </x:c>
      <x:c r="EC10" s="31" t="n">
        <x:v>110</x:v>
      </x:c>
      <x:c r="ED10" s="31" t="n">
        <x:v>116</x:v>
      </x:c>
      <x:c r="EE10" s="31" t="n">
        <x:v>28</x:v>
      </x:c>
      <x:c r="EF10" s="31" t="n">
        <x:v>88</x:v>
      </x:c>
      <x:c r="EG10" s="31" t="n">
        <x:v>1004</x:v>
      </x:c>
      <x:c r="EH10" s="31" t="n">
        <x:v>692</x:v>
      </x:c>
      <x:c r="EI10" s="31" t="n">
        <x:v>312</x:v>
      </x:c>
      <x:c r="EJ10" s="31" t="n">
        <x:v>210</x:v>
      </x:c>
      <x:c r="EK10" s="31" t="n">
        <x:v>144</x:v>
      </x:c>
      <x:c r="EL10" s="31" t="n">
        <x:v>66</x:v>
      </x:c>
      <x:c r="EM10" s="31" t="n">
        <x:v>7274</x:v>
      </x:c>
      <x:c r="EN10" s="31" t="n">
        <x:v>3994</x:v>
      </x:c>
      <x:c r="EO10" s="31" t="n">
        <x:v>3280</x:v>
      </x:c>
      <x:c r="EP10" s="31" t="n">
        <x:v>4823</x:v>
      </x:c>
      <x:c r="EQ10" s="31" t="n">
        <x:v>2500</x:v>
      </x:c>
      <x:c r="ER10" s="31" t="n">
        <x:v>2323</x:v>
      </x:c>
      <x:c r="ES10" s="31" t="n">
        <x:v>1581</x:v>
      </x:c>
      <x:c r="ET10" s="31" t="n">
        <x:v>980</x:v>
      </x:c>
      <x:c r="EU10" s="31" t="n">
        <x:v>601</x:v>
      </x:c>
      <x:c r="EV10" s="31" t="n">
        <x:v>49</x:v>
      </x:c>
      <x:c r="EW10" s="31" t="n">
        <x:v>25</x:v>
      </x:c>
      <x:c r="EX10" s="31" t="n">
        <x:v>24</x:v>
      </x:c>
      <x:c r="EY10" s="31" t="n">
        <x:v>762</x:v>
      </x:c>
      <x:c r="EZ10" s="31" t="n">
        <x:v>455</x:v>
      </x:c>
      <x:c r="FA10" s="31" t="n">
        <x:v>307</x:v>
      </x:c>
      <x:c r="FB10" s="31" t="n">
        <x:v>59</x:v>
      </x:c>
      <x:c r="FC10" s="31" t="n">
        <x:v>34</x:v>
      </x:c>
      <x:c r="FD10" s="31" t="n">
        <x:v>25</x:v>
      </x:c>
      <x:c r="FE10" s="31" t="n">
        <x:v>2764</x:v>
      </x:c>
      <x:c r="FF10" s="31" t="n">
        <x:v>2744</x:v>
      </x:c>
      <x:c r="FG10" s="31" t="n">
        <x:v>2142</x:v>
      </x:c>
      <x:c r="FH10" s="31" t="n">
        <x:v>348</x:v>
      </x:c>
      <x:c r="FI10" s="31" t="n">
        <x:v>254</x:v>
      </x:c>
      <x:c r="FJ10" s="31" t="n">
        <x:v>20</x:v>
      </x:c>
      <x:c r="FK10" s="31" t="n">
        <x:v>2142</x:v>
      </x:c>
      <x:c r="FL10" s="31" t="n">
        <x:v>1535</x:v>
      </x:c>
      <x:c r="FM10" s="31" t="n">
        <x:v>343</x:v>
      </x:c>
      <x:c r="FN10" s="31" t="n">
        <x:v>51</x:v>
      </x:c>
      <x:c r="FO10" s="31" t="n">
        <x:v>167</x:v>
      </x:c>
      <x:c r="FP10" s="31" t="n">
        <x:v>46</x:v>
      </x:c>
      <x:c r="FQ10" s="31" t="n">
        <x:v>2142</x:v>
      </x:c>
      <x:c r="FR10" s="31" t="n">
        <x:v>1967</x:v>
      </x:c>
      <x:c r="FS10" s="31" t="n">
        <x:v>9</x:v>
      </x:c>
      <x:c r="FT10" s="31" t="n">
        <x:v>47</x:v>
      </x:c>
      <x:c r="FU10" s="31" t="n">
        <x:v>15</x:v>
      </x:c>
      <x:c r="FV10" s="31" t="n">
        <x:v>104</x:v>
      </x:c>
      <x:c r="FW10" s="31" t="n">
        <x:v>2142</x:v>
      </x:c>
      <x:c r="FX10" s="31" t="n">
        <x:v>1902</x:v>
      </x:c>
      <x:c r="FY10" s="31" t="n">
        <x:v>69</x:v>
      </x:c>
      <x:c r="FZ10" s="31" t="n">
        <x:v>20</x:v>
      </x:c>
      <x:c r="GA10" s="31" t="n">
        <x:v>13</x:v>
      </x:c>
      <x:c r="GB10" s="31" t="n">
        <x:v>24</x:v>
      </x:c>
      <x:c r="GC10" s="31" t="n">
        <x:v>22</x:v>
      </x:c>
      <x:c r="GD10" s="31" t="n">
        <x:v>31</x:v>
      </x:c>
      <x:c r="GE10" s="31" t="n">
        <x:v>44</x:v>
      </x:c>
      <x:c r="GF10" s="31" t="n">
        <x:v>17</x:v>
      </x:c>
      <x:c r="GG10" s="31" t="n">
        <x:v>2142</x:v>
      </x:c>
      <x:c r="GH10" s="31" t="n">
        <x:v>1261</x:v>
      </x:c>
      <x:c r="GI10" s="31" t="n">
        <x:v>123</x:v>
      </x:c>
      <x:c r="GJ10" s="31" t="n">
        <x:v>586</x:v>
      </x:c>
      <x:c r="GK10" s="31" t="n">
        <x:v>5</x:v>
      </x:c>
      <x:c r="GL10" s="31" t="n">
        <x:v>25</x:v>
      </x:c>
      <x:c r="GM10" s="31" t="n">
        <x:v>7</x:v>
      </x:c>
      <x:c r="GN10" s="31" t="n">
        <x:v>135</x:v>
      </x:c>
      <x:c r="GO10" s="31" t="n">
        <x:v>2142</x:v>
      </x:c>
      <x:c r="GP10" s="31" t="n">
        <x:v>1159</x:v>
      </x:c>
      <x:c r="GQ10" s="31" t="n">
        <x:v>617</x:v>
      </x:c>
      <x:c r="GR10" s="31" t="n">
        <x:v>291</x:v>
      </x:c>
      <x:c r="GS10" s="31" t="n">
        <x:v>1</x:v>
      </x:c>
      <x:c r="GT10" s="31" t="n">
        <x:v>5</x:v>
      </x:c>
      <x:c r="GU10" s="31" t="n">
        <x:v>0</x:v>
      </x:c>
      <x:c r="GV10" s="31" t="n">
        <x:v>1</x:v>
      </x:c>
      <x:c r="GW10" s="31" t="n">
        <x:v>68</x:v>
      </x:c>
      <x:c r="GX10" s="31" t="n">
        <x:v>2142</x:v>
      </x:c>
      <x:c r="GY10" s="31" t="n">
        <x:v>245</x:v>
      </x:c>
      <x:c r="GZ10" s="31" t="n">
        <x:v>1504</x:v>
      </x:c>
      <x:c r="HA10" s="31" t="n">
        <x:v>5</x:v>
      </x:c>
      <x:c r="HB10" s="31" t="n">
        <x:v>3</x:v>
      </x:c>
      <x:c r="HC10" s="31" t="n">
        <x:v>287</x:v>
      </x:c>
      <x:c r="HD10" s="31" t="n">
        <x:v>86</x:v>
      </x:c>
      <x:c r="HE10" s="31" t="n">
        <x:v>12</x:v>
      </x:c>
      <x:c r="HF10" s="31" t="n">
        <x:v>2142</x:v>
      </x:c>
      <x:c r="HG10" s="31" t="n">
        <x:v>1428</x:v>
      </x:c>
      <x:c r="HH10" s="31" t="n">
        <x:v>1544</x:v>
      </x:c>
      <x:c r="HI10" s="31" t="n">
        <x:v>1929</x:v>
      </x:c>
      <x:c r="HJ10" s="31" t="n">
        <x:v>1738</x:v>
      </x:c>
      <x:c r="HK10" s="31" t="str">
        <x:v>Ficha_INE_Aguarague.pdf</x:v>
      </x:c>
      <x:c r="HL10" s="31" t="str">
        <x:v>Instituto Nacional de Estadística, Censo de Población y Vivienda 2024</x:v>
      </x:c>
    </x:row>
    <x:row r="11" ht="20" customHeight="1">
      <x:c r="A11" s="31" t="str">
        <x:v>AP-0901</x:v>
      </x:c>
      <x:c r="B11" s="31" t="str">
        <x:v>Amboró</x:v>
      </x:c>
      <x:c r="C11" s="31" t="n">
        <x:v>2</x:v>
      </x:c>
      <x:c r="D11" s="31" t="str">
        <x:v>Sí</x:v>
      </x:c>
      <x:c r="E11" s="31" t="str">
        <x:v>COCHABAMBA, SANTA CRUZ</x:v>
      </x:c>
      <x:c r="F11" s="31" t="str">
        <x:v>CARRASCO, ANDRÉS IBÁÑEZ, ICHILO, MÁS 2 PROVINCIAS</x:v>
      </x:c>
      <x:c r="G11" s="31" t="str">
        <x:v>POJO, ENTRE RÍOS, EL TORNO, MÁS 7</x:v>
      </x:c>
      <x:c r="H11" s="31" t="n">
        <x:v>5456</x:v>
      </x:c>
      <x:c r="I11" s="31" t="n">
        <x:v>3268</x:v>
      </x:c>
      <x:c r="J11" s="31" t="n">
        <x:v>2188</x:v>
      </x:c>
      <x:c r="K11" s="31" t="n">
        <x:v>2016</x:v>
      </x:c>
      <x:c r="L11" s="31" t="n">
        <x:v>1094</x:v>
      </x:c>
      <x:c r="M11" s="31" t="n">
        <x:v>922</x:v>
      </x:c>
      <x:c r="N11" s="31" t="n">
        <x:v>1689</x:v>
      </x:c>
      <x:c r="O11" s="31" t="n">
        <x:v>1063</x:v>
      </x:c>
      <x:c r="P11" s="31" t="n">
        <x:v>626</x:v>
      </x:c>
      <x:c r="Q11" s="31" t="n">
        <x:v>1272</x:v>
      </x:c>
      <x:c r="R11" s="31" t="n">
        <x:v>809</x:v>
      </x:c>
      <x:c r="S11" s="31" t="n">
        <x:v>463</x:v>
      </x:c>
      <x:c r="T11" s="31" t="n">
        <x:v>479</x:v>
      </x:c>
      <x:c r="U11" s="31" t="n">
        <x:v>302</x:v>
      </x:c>
      <x:c r="V11" s="31" t="n">
        <x:v>177</x:v>
      </x:c>
      <x:c r="W11" s="31" t="n">
        <x:v>5456</x:v>
      </x:c>
      <x:c r="X11" s="31" t="n">
        <x:v>3268</x:v>
      </x:c>
      <x:c r="Y11" s="31" t="n">
        <x:v>2188</x:v>
      </x:c>
      <x:c r="Z11" s="31" t="n">
        <x:v>2205</x:v>
      </x:c>
      <x:c r="AA11" s="31" t="n">
        <x:v>1259</x:v>
      </x:c>
      <x:c r="AB11" s="31" t="n">
        <x:v>946</x:v>
      </x:c>
      <x:c r="AC11" s="31" t="n">
        <x:v>3070</x:v>
      </x:c>
      <x:c r="AD11" s="31" t="n">
        <x:v>1903</x:v>
      </x:c>
      <x:c r="AE11" s="31" t="n">
        <x:v>1167</x:v>
      </x:c>
      <x:c r="AF11" s="31" t="n">
        <x:v>77</x:v>
      </x:c>
      <x:c r="AG11" s="31" t="n">
        <x:v>40</x:v>
      </x:c>
      <x:c r="AH11" s="31" t="n">
        <x:v>37</x:v>
      </x:c>
      <x:c r="AI11" s="31" t="n">
        <x:v>104</x:v>
      </x:c>
      <x:c r="AJ11" s="31" t="n">
        <x:v>66</x:v>
      </x:c>
      <x:c r="AK11" s="31" t="n">
        <x:v>38</x:v>
      </x:c>
      <x:c r="AL11" s="31" t="n">
        <x:v>5456</x:v>
      </x:c>
      <x:c r="AM11" s="31" t="n">
        <x:v>3268</x:v>
      </x:c>
      <x:c r="AN11" s="31" t="n">
        <x:v>2188</x:v>
      </x:c>
      <x:c r="AO11" s="31" t="n">
        <x:v>5042</x:v>
      </x:c>
      <x:c r="AP11" s="31" t="n">
        <x:v>2980</x:v>
      </x:c>
      <x:c r="AQ11" s="31" t="n">
        <x:v>2062</x:v>
      </x:c>
      <x:c r="AR11" s="31" t="n">
        <x:v>334</x:v>
      </x:c>
      <x:c r="AS11" s="31" t="n">
        <x:v>239</x:v>
      </x:c>
      <x:c r="AT11" s="31" t="n">
        <x:v>95</x:v>
      </x:c>
      <x:c r="AU11" s="31" t="n">
        <x:v>6</x:v>
      </x:c>
      <x:c r="AV11" s="31" t="n">
        <x:v>3</x:v>
      </x:c>
      <x:c r="AW11" s="31" t="n">
        <x:v>3</x:v>
      </x:c>
      <x:c r="AX11" s="31" t="n">
        <x:v>74</x:v>
      </x:c>
      <x:c r="AY11" s="31" t="n">
        <x:v>46</x:v>
      </x:c>
      <x:c r="AZ11" s="31" t="n">
        <x:v>28</x:v>
      </x:c>
      <x:c r="BA11" s="31" t="n">
        <x:v>3518</x:v>
      </x:c>
      <x:c r="BB11" s="31" t="n">
        <x:v>2223</x:v>
      </x:c>
      <x:c r="BC11" s="31" t="n">
        <x:v>1295</x:v>
      </x:c>
      <x:c r="BD11" s="31" t="n">
        <x:v>302</x:v>
      </x:c>
      <x:c r="BE11" s="31" t="n">
        <x:v>105</x:v>
      </x:c>
      <x:c r="BF11" s="31" t="n">
        <x:v>197</x:v>
      </x:c>
      <x:c r="BG11" s="31" t="n">
        <x:v>1506</x:v>
      </x:c>
      <x:c r="BH11" s="31" t="n">
        <x:v>966</x:v>
      </x:c>
      <x:c r="BI11" s="31" t="n">
        <x:v>540</x:v>
      </x:c>
      <x:c r="BJ11" s="31" t="n">
        <x:v>1307</x:v>
      </x:c>
      <x:c r="BK11" s="31" t="n">
        <x:v>896</x:v>
      </x:c>
      <x:c r="BL11" s="31" t="n">
        <x:v>411</x:v>
      </x:c>
      <x:c r="BM11" s="31" t="n">
        <x:v>382</x:v>
      </x:c>
      <x:c r="BN11" s="31" t="n">
        <x:v>243</x:v>
      </x:c>
      <x:c r="BO11" s="31" t="n">
        <x:v>139</x:v>
      </x:c>
      <x:c r="BP11" s="31" t="n">
        <x:v>21</x:v>
      </x:c>
      <x:c r="BQ11" s="31" t="n">
        <x:v>13</x:v>
      </x:c>
      <x:c r="BR11" s="31" t="n">
        <x:v>8</x:v>
      </x:c>
      <x:c r="BS11" s="31" t="n">
        <x:v>3170</x:v>
      </x:c>
      <x:c r="BT11" s="31" t="n">
        <x:v>2125</x:v>
      </x:c>
      <x:c r="BU11" s="31" t="n">
        <x:v>1045</x:v>
      </x:c>
      <x:c r="BV11" s="31" t="n">
        <x:v>481</x:v>
      </x:c>
      <x:c r="BW11" s="31" t="n">
        <x:v>357</x:v>
      </x:c>
      <x:c r="BX11" s="31" t="n">
        <x:v>124</x:v>
      </x:c>
      <x:c r="BY11" s="31" t="n">
        <x:v>2151</x:v>
      </x:c>
      <x:c r="BZ11" s="31" t="n">
        <x:v>1474</x:v>
      </x:c>
      <x:c r="CA11" s="31" t="n">
        <x:v>677</x:v>
      </x:c>
      <x:c r="CB11" s="31" t="n">
        <x:v>295</x:v>
      </x:c>
      <x:c r="CC11" s="31" t="n">
        <x:v>146</x:v>
      </x:c>
      <x:c r="CD11" s="31" t="n">
        <x:v>149</x:v>
      </x:c>
      <x:c r="CE11" s="31" t="n">
        <x:v>243</x:v>
      </x:c>
      <x:c r="CF11" s="31" t="n">
        <x:v>148</x:v>
      </x:c>
      <x:c r="CG11" s="31" t="n">
        <x:v>95</x:v>
      </x:c>
      <x:c r="CH11" s="31" t="n">
        <x:v>5456</x:v>
      </x:c>
      <x:c r="CI11" s="31" t="n">
        <x:v>3268</x:v>
      </x:c>
      <x:c r="CJ11" s="31" t="n">
        <x:v>2188</x:v>
      </x:c>
      <x:c r="CK11" s="31" t="n">
        <x:v>4614</x:v>
      </x:c>
      <x:c r="CL11" s="31" t="n">
        <x:v>2718</x:v>
      </x:c>
      <x:c r="CM11" s="31" t="n">
        <x:v>1896</x:v>
      </x:c>
      <x:c r="CN11" s="31" t="n">
        <x:v>548</x:v>
      </x:c>
      <x:c r="CO11" s="31" t="n">
        <x:v>331</x:v>
      </x:c>
      <x:c r="CP11" s="31" t="n">
        <x:v>217</x:v>
      </x:c>
      <x:c r="CQ11" s="31" t="n">
        <x:v>1208</x:v>
      </x:c>
      <x:c r="CR11" s="31" t="n">
        <x:v>679</x:v>
      </x:c>
      <x:c r="CS11" s="31" t="n">
        <x:v>529</x:v>
      </x:c>
      <x:c r="CT11" s="31" t="n">
        <x:v>606</x:v>
      </x:c>
      <x:c r="CU11" s="31" t="n">
        <x:v>336</x:v>
      </x:c>
      <x:c r="CV11" s="31" t="n">
        <x:v>270</x:v>
      </x:c>
      <x:c r="CW11" s="31" t="n">
        <x:v>1366</x:v>
      </x:c>
      <x:c r="CX11" s="31" t="n">
        <x:v>811</x:v>
      </x:c>
      <x:c r="CY11" s="31" t="n">
        <x:v>555</x:v>
      </x:c>
      <x:c r="CZ11" s="31" t="n">
        <x:v>2759</x:v>
      </x:c>
      <x:c r="DA11" s="31" t="n">
        <x:v>1639</x:v>
      </x:c>
      <x:c r="DB11" s="31" t="n">
        <x:v>1120</x:v>
      </x:c>
      <x:c r="DC11" s="31" t="n">
        <x:v>3794</x:v>
      </x:c>
      <x:c r="DD11" s="31" t="n">
        <x:v>2214</x:v>
      </x:c>
      <x:c r="DE11" s="31" t="n">
        <x:v>1580</x:v>
      </x:c>
      <x:c r="DF11" s="31" t="n">
        <x:v>3170</x:v>
      </x:c>
      <x:c r="DG11" s="31" t="n">
        <x:v>2125</x:v>
      </x:c>
      <x:c r="DH11" s="31" t="n">
        <x:v>1045</x:v>
      </x:c>
      <x:c r="DI11" s="31" t="n">
        <x:v>2460</x:v>
      </x:c>
      <x:c r="DJ11" s="31" t="n">
        <x:v>1746</x:v>
      </x:c>
      <x:c r="DK11" s="31" t="n">
        <x:v>714</x:v>
      </x:c>
      <x:c r="DL11" s="31" t="n">
        <x:v>175</x:v>
      </x:c>
      <x:c r="DM11" s="31" t="n">
        <x:v>74</x:v>
      </x:c>
      <x:c r="DN11" s="31" t="n">
        <x:v>101</x:v>
      </x:c>
      <x:c r="DO11" s="31" t="n">
        <x:v>50</x:v>
      </x:c>
      <x:c r="DP11" s="31" t="n">
        <x:v>31</x:v>
      </x:c>
      <x:c r="DQ11" s="31" t="n">
        <x:v>19</x:v>
      </x:c>
      <x:c r="DR11" s="31" t="n">
        <x:v>80</x:v>
      </x:c>
      <x:c r="DS11" s="31" t="n">
        <x:v>80</x:v>
      </x:c>
      <x:c r="DT11" s="31" t="n">
        <x:v>0</x:v>
      </x:c>
      <x:c r="DU11" s="31" t="n">
        <x:v>43</x:v>
      </x:c>
      <x:c r="DV11" s="31" t="n">
        <x:v>42</x:v>
      </x:c>
      <x:c r="DW11" s="31" t="n">
        <x:v>1</x:v>
      </x:c>
      <x:c r="DX11" s="31" t="n">
        <x:v>61</x:v>
      </x:c>
      <x:c r="DY11" s="31" t="n">
        <x:v>15</x:v>
      </x:c>
      <x:c r="DZ11" s="31" t="n">
        <x:v>46</x:v>
      </x:c>
      <x:c r="EA11" s="31" t="n">
        <x:v>49</x:v>
      </x:c>
      <x:c r="EB11" s="31" t="n">
        <x:v>25</x:v>
      </x:c>
      <x:c r="EC11" s="31" t="n">
        <x:v>24</x:v>
      </x:c>
      <x:c r="ED11" s="31" t="n">
        <x:v>20</x:v>
      </x:c>
      <x:c r="EE11" s="31" t="n">
        <x:v>7</x:v>
      </x:c>
      <x:c r="EF11" s="31" t="n">
        <x:v>13</x:v>
      </x:c>
      <x:c r="EG11" s="31" t="n">
        <x:v>154</x:v>
      </x:c>
      <x:c r="EH11" s="31" t="n">
        <x:v>77</x:v>
      </x:c>
      <x:c r="EI11" s="31" t="n">
        <x:v>77</x:v>
      </x:c>
      <x:c r="EJ11" s="31" t="n">
        <x:v>78</x:v>
      </x:c>
      <x:c r="EK11" s="31" t="n">
        <x:v>28</x:v>
      </x:c>
      <x:c r="EL11" s="31" t="n">
        <x:v>50</x:v>
      </x:c>
      <x:c r="EM11" s="31" t="n">
        <x:v>5376</x:v>
      </x:c>
      <x:c r="EN11" s="31" t="n">
        <x:v>3219</x:v>
      </x:c>
      <x:c r="EO11" s="31" t="n">
        <x:v>2157</x:v>
      </x:c>
      <x:c r="EP11" s="31" t="n">
        <x:v>4111</x:v>
      </x:c>
      <x:c r="EQ11" s="31" t="n">
        <x:v>2382</x:v>
      </x:c>
      <x:c r="ER11" s="31" t="n">
        <x:v>1729</x:v>
      </x:c>
      <x:c r="ES11" s="31" t="n">
        <x:v>136</x:v>
      </x:c>
      <x:c r="ET11" s="31" t="n">
        <x:v>84</x:v>
      </x:c>
      <x:c r="EU11" s="31" t="n">
        <x:v>52</x:v>
      </x:c>
      <x:c r="EV11" s="31" t="n">
        <x:v>23</x:v>
      </x:c>
      <x:c r="EW11" s="31" t="n">
        <x:v>16</x:v>
      </x:c>
      <x:c r="EX11" s="31" t="n">
        <x:v>7</x:v>
      </x:c>
      <x:c r="EY11" s="31" t="n">
        <x:v>974</x:v>
      </x:c>
      <x:c r="EZ11" s="31" t="n">
        <x:v>658</x:v>
      </x:c>
      <x:c r="FA11" s="31" t="n">
        <x:v>316</x:v>
      </x:c>
      <x:c r="FB11" s="31" t="n">
        <x:v>132</x:v>
      </x:c>
      <x:c r="FC11" s="31" t="n">
        <x:v>79</x:v>
      </x:c>
      <x:c r="FD11" s="31" t="n">
        <x:v>53</x:v>
      </x:c>
      <x:c r="FE11" s="31" t="n">
        <x:v>2411</x:v>
      </x:c>
      <x:c r="FF11" s="31" t="n">
        <x:v>2404</x:v>
      </x:c>
      <x:c r="FG11" s="31" t="n">
        <x:v>1958</x:v>
      </x:c>
      <x:c r="FH11" s="31" t="n">
        <x:v>301</x:v>
      </x:c>
      <x:c r="FI11" s="31" t="n">
        <x:v>145</x:v>
      </x:c>
      <x:c r="FJ11" s="31" t="n">
        <x:v>7</x:v>
      </x:c>
      <x:c r="FK11" s="31" t="n">
        <x:v>1958</x:v>
      </x:c>
      <x:c r="FL11" s="31" t="n">
        <x:v>1764</x:v>
      </x:c>
      <x:c r="FM11" s="31" t="n">
        <x:v>32</x:v>
      </x:c>
      <x:c r="FN11" s="31" t="n">
        <x:v>5</x:v>
      </x:c>
      <x:c r="FO11" s="31" t="n">
        <x:v>134</x:v>
      </x:c>
      <x:c r="FP11" s="31" t="n">
        <x:v>23</x:v>
      </x:c>
      <x:c r="FQ11" s="31" t="n">
        <x:v>1958</x:v>
      </x:c>
      <x:c r="FR11" s="31" t="n">
        <x:v>691</x:v>
      </x:c>
      <x:c r="FS11" s="31" t="n">
        <x:v>7</x:v>
      </x:c>
      <x:c r="FT11" s="31" t="n">
        <x:v>177</x:v>
      </x:c>
      <x:c r="FU11" s="31" t="n">
        <x:v>23</x:v>
      </x:c>
      <x:c r="FV11" s="31" t="n">
        <x:v>1060</x:v>
      </x:c>
      <x:c r="FW11" s="31" t="n">
        <x:v>1958</x:v>
      </x:c>
      <x:c r="FX11" s="31" t="n">
        <x:v>443</x:v>
      </x:c>
      <x:c r="FY11" s="31" t="n">
        <x:v>49</x:v>
      </x:c>
      <x:c r="FZ11" s="31" t="n">
        <x:v>4</x:v>
      </x:c>
      <x:c r="GA11" s="31" t="n">
        <x:v>125</x:v>
      </x:c>
      <x:c r="GB11" s="31" t="n">
        <x:v>157</x:v>
      </x:c>
      <x:c r="GC11" s="31" t="n">
        <x:v>903</x:v>
      </x:c>
      <x:c r="GD11" s="31" t="n">
        <x:v>182</x:v>
      </x:c>
      <x:c r="GE11" s="31" t="n">
        <x:v>77</x:v>
      </x:c>
      <x:c r="GF11" s="31" t="n">
        <x:v>18</x:v>
      </x:c>
      <x:c r="GG11" s="31" t="n">
        <x:v>1958</x:v>
      </x:c>
      <x:c r="GH11" s="31" t="n">
        <x:v>47</x:v>
      </x:c>
      <x:c r="GI11" s="31" t="n">
        <x:v>77</x:v>
      </x:c>
      <x:c r="GJ11" s="31" t="n">
        <x:v>417</x:v>
      </x:c>
      <x:c r="GK11" s="31" t="n">
        <x:v>10</x:v>
      </x:c>
      <x:c r="GL11" s="31" t="n">
        <x:v>42</x:v>
      </x:c>
      <x:c r="GM11" s="31" t="n">
        <x:v>158</x:v>
      </x:c>
      <x:c r="GN11" s="31" t="n">
        <x:v>1207</x:v>
      </x:c>
      <x:c r="GO11" s="31" t="n">
        <x:v>1958</x:v>
      </x:c>
      <x:c r="GP11" s="31" t="n">
        <x:v>508</x:v>
      </x:c>
      <x:c r="GQ11" s="31" t="n">
        <x:v>3</x:v>
      </x:c>
      <x:c r="GR11" s="31" t="n">
        <x:v>1427</x:v>
      </x:c>
      <x:c r="GS11" s="31" t="n">
        <x:v>2</x:v>
      </x:c>
      <x:c r="GT11" s="31" t="n">
        <x:v>2</x:v>
      </x:c>
      <x:c r="GU11" s="31" t="n">
        <x:v>0</x:v>
      </x:c>
      <x:c r="GV11" s="31" t="n">
        <x:v>0</x:v>
      </x:c>
      <x:c r="GW11" s="31" t="n">
        <x:v>16</x:v>
      </x:c>
      <x:c r="GX11" s="31" t="n">
        <x:v>1958</x:v>
      </x:c>
      <x:c r="GY11" s="31" t="n">
        <x:v>6</x:v>
      </x:c>
      <x:c r="GZ11" s="31" t="n">
        <x:v>8</x:v>
      </x:c>
      <x:c r="HA11" s="31" t="n">
        <x:v>74</x:v>
      </x:c>
      <x:c r="HB11" s="31" t="n">
        <x:v>6</x:v>
      </x:c>
      <x:c r="HC11" s="31" t="n">
        <x:v>1621</x:v>
      </x:c>
      <x:c r="HD11" s="31" t="n">
        <x:v>198</x:v>
      </x:c>
      <x:c r="HE11" s="31" t="n">
        <x:v>45</x:v>
      </x:c>
      <x:c r="HF11" s="31" t="n">
        <x:v>1958</x:v>
      </x:c>
      <x:c r="HG11" s="31" t="n">
        <x:v>1078</x:v>
      </x:c>
      <x:c r="HH11" s="31" t="n">
        <x:v>390</x:v>
      </x:c>
      <x:c r="HI11" s="31" t="n">
        <x:v>1493</x:v>
      </x:c>
      <x:c r="HJ11" s="31" t="n">
        <x:v>923</x:v>
      </x:c>
      <x:c r="HK11" s="31" t="str">
        <x:v>Ficha_INE_Amboro.pdf</x:v>
      </x:c>
      <x:c r="HL11" s="31" t="str">
        <x:v>Instituto Nacional de Estadística, Censo de Población y Vivienda 2024</x:v>
      </x:c>
    </x:row>
    <x:row r="12" ht="20" customHeight="1">
      <x:c r="A12" s="31" t="str">
        <x:v>AP-1501</x:v>
      </x:c>
      <x:c r="B12" s="31" t="str">
        <x:v>Cotapata</x:v>
      </x:c>
      <x:c r="C12" s="31" t="n">
        <x:v>16</x:v>
      </x:c>
      <x:c r="D12" s="31" t="str">
        <x:v>Sí</x:v>
      </x:c>
      <x:c r="E12" s="31" t="str">
        <x:v>LA PAZ</x:v>
      </x:c>
      <x:c r="F12" s="31" t="str">
        <x:v>MURILLO, NOR YUNGAS</x:v>
      </x:c>
      <x:c r="G12" s="31" t="str">
        <x:v>NUESTRA SEÑORA DE LA PAZ, COROICO</x:v>
      </x:c>
      <x:c r="H12" s="31" t="n">
        <x:v>4983</x:v>
      </x:c>
      <x:c r="I12" s="31" t="n">
        <x:v>2784</x:v>
      </x:c>
      <x:c r="J12" s="31" t="n">
        <x:v>2199</x:v>
      </x:c>
      <x:c r="K12" s="31" t="n">
        <x:v>1598</x:v>
      </x:c>
      <x:c r="L12" s="31" t="n">
        <x:v>896</x:v>
      </x:c>
      <x:c r="M12" s="31" t="n">
        <x:v>702</x:v>
      </x:c>
      <x:c r="N12" s="31" t="n">
        <x:v>1742</x:v>
      </x:c>
      <x:c r="O12" s="31" t="n">
        <x:v>987</x:v>
      </x:c>
      <x:c r="P12" s="31" t="n">
        <x:v>755</x:v>
      </x:c>
      <x:c r="Q12" s="31" t="n">
        <x:v>1147</x:v>
      </x:c>
      <x:c r="R12" s="31" t="n">
        <x:v>625</x:v>
      </x:c>
      <x:c r="S12" s="31" t="n">
        <x:v>522</x:v>
      </x:c>
      <x:c r="T12" s="31" t="n">
        <x:v>496</x:v>
      </x:c>
      <x:c r="U12" s="31" t="n">
        <x:v>276</x:v>
      </x:c>
      <x:c r="V12" s="31" t="n">
        <x:v>220</x:v>
      </x:c>
      <x:c r="W12" s="31" t="n">
        <x:v>4983</x:v>
      </x:c>
      <x:c r="X12" s="31" t="n">
        <x:v>2784</x:v>
      </x:c>
      <x:c r="Y12" s="31" t="n">
        <x:v>2199</x:v>
      </x:c>
      <x:c r="Z12" s="31" t="n">
        <x:v>2401</x:v>
      </x:c>
      <x:c r="AA12" s="31" t="n">
        <x:v>1377</x:v>
      </x:c>
      <x:c r="AB12" s="31" t="n">
        <x:v>1024</x:v>
      </x:c>
      <x:c r="AC12" s="31" t="n">
        <x:v>2472</x:v>
      </x:c>
      <x:c r="AD12" s="31" t="n">
        <x:v>1344</x:v>
      </x:c>
      <x:c r="AE12" s="31" t="n">
        <x:v>1128</x:v>
      </x:c>
      <x:c r="AF12" s="31" t="n">
        <x:v>42</x:v>
      </x:c>
      <x:c r="AG12" s="31" t="n">
        <x:v>26</x:v>
      </x:c>
      <x:c r="AH12" s="31" t="n">
        <x:v>16</x:v>
      </x:c>
      <x:c r="AI12" s="31" t="n">
        <x:v>68</x:v>
      </x:c>
      <x:c r="AJ12" s="31" t="n">
        <x:v>37</x:v>
      </x:c>
      <x:c r="AK12" s="31" t="n">
        <x:v>31</x:v>
      </x:c>
      <x:c r="AL12" s="31" t="n">
        <x:v>4983</x:v>
      </x:c>
      <x:c r="AM12" s="31" t="n">
        <x:v>2784</x:v>
      </x:c>
      <x:c r="AN12" s="31" t="n">
        <x:v>2199</x:v>
      </x:c>
      <x:c r="AO12" s="31" t="n">
        <x:v>4612</x:v>
      </x:c>
      <x:c r="AP12" s="31" t="n">
        <x:v>2600</x:v>
      </x:c>
      <x:c r="AQ12" s="31" t="n">
        <x:v>2012</x:v>
      </x:c>
      <x:c r="AR12" s="31" t="n">
        <x:v>317</x:v>
      </x:c>
      <x:c r="AS12" s="31" t="n">
        <x:v>156</x:v>
      </x:c>
      <x:c r="AT12" s="31" t="n">
        <x:v>161</x:v>
      </x:c>
      <x:c r="AU12" s="31" t="n">
        <x:v>7</x:v>
      </x:c>
      <x:c r="AV12" s="31" t="n">
        <x:v>4</x:v>
      </x:c>
      <x:c r="AW12" s="31" t="n">
        <x:v>3</x:v>
      </x:c>
      <x:c r="AX12" s="31" t="n">
        <x:v>47</x:v>
      </x:c>
      <x:c r="AY12" s="31" t="n">
        <x:v>24</x:v>
      </x:c>
      <x:c r="AZ12" s="31" t="n">
        <x:v>23</x:v>
      </x:c>
      <x:c r="BA12" s="31" t="n">
        <x:v>3453</x:v>
      </x:c>
      <x:c r="BB12" s="31" t="n">
        <x:v>1925</x:v>
      </x:c>
      <x:c r="BC12" s="31" t="n">
        <x:v>1528</x:v>
      </x:c>
      <x:c r="BD12" s="31" t="n">
        <x:v>168</x:v>
      </x:c>
      <x:c r="BE12" s="31" t="n">
        <x:v>74</x:v>
      </x:c>
      <x:c r="BF12" s="31" t="n">
        <x:v>94</x:v>
      </x:c>
      <x:c r="BG12" s="31" t="n">
        <x:v>693</x:v>
      </x:c>
      <x:c r="BH12" s="31" t="n">
        <x:v>311</x:v>
      </x:c>
      <x:c r="BI12" s="31" t="n">
        <x:v>382</x:v>
      </x:c>
      <x:c r="BJ12" s="31" t="n">
        <x:v>1687</x:v>
      </x:c>
      <x:c r="BK12" s="31" t="n">
        <x:v>1044</x:v>
      </x:c>
      <x:c r="BL12" s="31" t="n">
        <x:v>643</x:v>
      </x:c>
      <x:c r="BM12" s="31" t="n">
        <x:v>859</x:v>
      </x:c>
      <x:c r="BN12" s="31" t="n">
        <x:v>478</x:v>
      </x:c>
      <x:c r="BO12" s="31" t="n">
        <x:v>381</x:v>
      </x:c>
      <x:c r="BP12" s="31" t="n">
        <x:v>46</x:v>
      </x:c>
      <x:c r="BQ12" s="31" t="n">
        <x:v>18</x:v>
      </x:c>
      <x:c r="BR12" s="31" t="n">
        <x:v>28</x:v>
      </x:c>
      <x:c r="BS12" s="31" t="n">
        <x:v>2850</x:v>
      </x:c>
      <x:c r="BT12" s="31" t="n">
        <x:v>1669</x:v>
      </x:c>
      <x:c r="BU12" s="31" t="n">
        <x:v>1181</x:v>
      </x:c>
      <x:c r="BV12" s="31" t="n">
        <x:v>674</x:v>
      </x:c>
      <x:c r="BW12" s="31" t="n">
        <x:v>445</x:v>
      </x:c>
      <x:c r="BX12" s="31" t="n">
        <x:v>229</x:v>
      </x:c>
      <x:c r="BY12" s="31" t="n">
        <x:v>1665</x:v>
      </x:c>
      <x:c r="BZ12" s="31" t="n">
        <x:v>942</x:v>
      </x:c>
      <x:c r="CA12" s="31" t="n">
        <x:v>723</x:v>
      </x:c>
      <x:c r="CB12" s="31" t="n">
        <x:v>269</x:v>
      </x:c>
      <x:c r="CC12" s="31" t="n">
        <x:v>138</x:v>
      </x:c>
      <x:c r="CD12" s="31" t="n">
        <x:v>131</x:v>
      </x:c>
      <x:c r="CE12" s="31" t="n">
        <x:v>242</x:v>
      </x:c>
      <x:c r="CF12" s="31" t="n">
        <x:v>144</x:v>
      </x:c>
      <x:c r="CG12" s="31" t="n">
        <x:v>98</x:v>
      </x:c>
      <x:c r="CH12" s="31" t="n">
        <x:v>4983</x:v>
      </x:c>
      <x:c r="CI12" s="31" t="n">
        <x:v>2784</x:v>
      </x:c>
      <x:c r="CJ12" s="31" t="n">
        <x:v>2199</x:v>
      </x:c>
      <x:c r="CK12" s="31" t="n">
        <x:v>3525</x:v>
      </x:c>
      <x:c r="CL12" s="31" t="n">
        <x:v>1984</x:v>
      </x:c>
      <x:c r="CM12" s="31" t="n">
        <x:v>1541</x:v>
      </x:c>
      <x:c r="CN12" s="31" t="n">
        <x:v>726</x:v>
      </x:c>
      <x:c r="CO12" s="31" t="n">
        <x:v>370</x:v>
      </x:c>
      <x:c r="CP12" s="31" t="n">
        <x:v>356</x:v>
      </x:c>
      <x:c r="CQ12" s="31" t="n">
        <x:v>647</x:v>
      </x:c>
      <x:c r="CR12" s="31" t="n">
        <x:v>329</x:v>
      </x:c>
      <x:c r="CS12" s="31" t="n">
        <x:v>318</x:v>
      </x:c>
      <x:c r="CT12" s="31" t="n">
        <x:v>331</x:v>
      </x:c>
      <x:c r="CU12" s="31" t="n">
        <x:v>173</x:v>
      </x:c>
      <x:c r="CV12" s="31" t="n">
        <x:v>158</x:v>
      </x:c>
      <x:c r="CW12" s="31" t="n">
        <x:v>1510</x:v>
      </x:c>
      <x:c r="CX12" s="31" t="n">
        <x:v>843</x:v>
      </x:c>
      <x:c r="CY12" s="31" t="n">
        <x:v>667</x:v>
      </x:c>
      <x:c r="CZ12" s="31" t="n">
        <x:v>1897</x:v>
      </x:c>
      <x:c r="DA12" s="31" t="n">
        <x:v>1049</x:v>
      </x:c>
      <x:c r="DB12" s="31" t="n">
        <x:v>848</x:v>
      </x:c>
      <x:c r="DC12" s="31" t="n">
        <x:v>3261</x:v>
      </x:c>
      <x:c r="DD12" s="31" t="n">
        <x:v>1831</x:v>
      </x:c>
      <x:c r="DE12" s="31" t="n">
        <x:v>1430</x:v>
      </x:c>
      <x:c r="DF12" s="31" t="n">
        <x:v>2850</x:v>
      </x:c>
      <x:c r="DG12" s="31" t="n">
        <x:v>1669</x:v>
      </x:c>
      <x:c r="DH12" s="31" t="n">
        <x:v>1181</x:v>
      </x:c>
      <x:c r="DI12" s="31" t="n">
        <x:v>1347</x:v>
      </x:c>
      <x:c r="DJ12" s="31" t="n">
        <x:v>762</x:v>
      </x:c>
      <x:c r="DK12" s="31" t="n">
        <x:v>585</x:v>
      </x:c>
      <x:c r="DL12" s="31" t="n">
        <x:v>278</x:v>
      </x:c>
      <x:c r="DM12" s="31" t="n">
        <x:v>113</x:v>
      </x:c>
      <x:c r="DN12" s="31" t="n">
        <x:v>165</x:v>
      </x:c>
      <x:c r="DO12" s="31" t="n">
        <x:v>132</x:v>
      </x:c>
      <x:c r="DP12" s="31" t="n">
        <x:v>76</x:v>
      </x:c>
      <x:c r="DQ12" s="31" t="n">
        <x:v>56</x:v>
      </x:c>
      <x:c r="DR12" s="31" t="n">
        <x:v>229</x:v>
      </x:c>
      <x:c r="DS12" s="31" t="n">
        <x:v>200</x:v>
      </x:c>
      <x:c r="DT12" s="31" t="n">
        <x:v>29</x:v>
      </x:c>
      <x:c r="DU12" s="31" t="n">
        <x:v>112</x:v>
      </x:c>
      <x:c r="DV12" s="31" t="n">
        <x:v>103</x:v>
      </x:c>
      <x:c r="DW12" s="31" t="n">
        <x:v>9</x:v>
      </x:c>
      <x:c r="DX12" s="31" t="n">
        <x:v>158</x:v>
      </x:c>
      <x:c r="DY12" s="31" t="n">
        <x:v>50</x:v>
      </x:c>
      <x:c r="DZ12" s="31" t="n">
        <x:v>108</x:v>
      </x:c>
      <x:c r="EA12" s="31" t="n">
        <x:v>52</x:v>
      </x:c>
      <x:c r="EB12" s="31" t="n">
        <x:v>25</x:v>
      </x:c>
      <x:c r="EC12" s="31" t="n">
        <x:v>27</x:v>
      </x:c>
      <x:c r="ED12" s="31" t="n">
        <x:v>55</x:v>
      </x:c>
      <x:c r="EE12" s="31" t="n">
        <x:v>20</x:v>
      </x:c>
      <x:c r="EF12" s="31" t="n">
        <x:v>35</x:v>
      </x:c>
      <x:c r="EG12" s="31" t="n">
        <x:v>423</x:v>
      </x:c>
      <x:c r="EH12" s="31" t="n">
        <x:v>287</x:v>
      </x:c>
      <x:c r="EI12" s="31" t="n">
        <x:v>136</x:v>
      </x:c>
      <x:c r="EJ12" s="31" t="n">
        <x:v>64</x:v>
      </x:c>
      <x:c r="EK12" s="31" t="n">
        <x:v>33</x:v>
      </x:c>
      <x:c r="EL12" s="31" t="n">
        <x:v>31</x:v>
      </x:c>
      <x:c r="EM12" s="31" t="n">
        <x:v>4929</x:v>
      </x:c>
      <x:c r="EN12" s="31" t="n">
        <x:v>2756</x:v>
      </x:c>
      <x:c r="EO12" s="31" t="n">
        <x:v>2173</x:v>
      </x:c>
      <x:c r="EP12" s="31" t="n">
        <x:v>3092</x:v>
      </x:c>
      <x:c r="EQ12" s="31" t="n">
        <x:v>1743</x:v>
      </x:c>
      <x:c r="ER12" s="31" t="n">
        <x:v>1349</x:v>
      </x:c>
      <x:c r="ES12" s="31" t="n">
        <x:v>419</x:v>
      </x:c>
      <x:c r="ET12" s="31" t="n">
        <x:v>214</x:v>
      </x:c>
      <x:c r="EU12" s="31" t="n">
        <x:v>205</x:v>
      </x:c>
      <x:c r="EV12" s="31" t="n">
        <x:v>68</x:v>
      </x:c>
      <x:c r="EW12" s="31" t="n">
        <x:v>37</x:v>
      </x:c>
      <x:c r="EX12" s="31" t="n">
        <x:v>31</x:v>
      </x:c>
      <x:c r="EY12" s="31" t="n">
        <x:v>1253</x:v>
      </x:c>
      <x:c r="EZ12" s="31" t="n">
        <x:v>716</x:v>
      </x:c>
      <x:c r="FA12" s="31" t="n">
        <x:v>537</x:v>
      </x:c>
      <x:c r="FB12" s="31" t="n">
        <x:v>97</x:v>
      </x:c>
      <x:c r="FC12" s="31" t="n">
        <x:v>46</x:v>
      </x:c>
      <x:c r="FD12" s="31" t="n">
        <x:v>51</x:v>
      </x:c>
      <x:c r="FE12" s="31" t="n">
        <x:v>1992</x:v>
      </x:c>
      <x:c r="FF12" s="31" t="n">
        <x:v>1976</x:v>
      </x:c>
      <x:c r="FG12" s="31" t="n">
        <x:v>1826</x:v>
      </x:c>
      <x:c r="FH12" s="31" t="n">
        <x:v>100</x:v>
      </x:c>
      <x:c r="FI12" s="31" t="n">
        <x:v>50</x:v>
      </x:c>
      <x:c r="FJ12" s="31" t="n">
        <x:v>16</x:v>
      </x:c>
      <x:c r="FK12" s="31" t="n">
        <x:v>1826</x:v>
      </x:c>
      <x:c r="FL12" s="31" t="n">
        <x:v>1567</x:v>
      </x:c>
      <x:c r="FM12" s="31" t="n">
        <x:v>102</x:v>
      </x:c>
      <x:c r="FN12" s="31" t="n">
        <x:v>4</x:v>
      </x:c>
      <x:c r="FO12" s="31" t="n">
        <x:v>104</x:v>
      </x:c>
      <x:c r="FP12" s="31" t="n">
        <x:v>49</x:v>
      </x:c>
      <x:c r="FQ12" s="31" t="n">
        <x:v>1826</x:v>
      </x:c>
      <x:c r="FR12" s="31" t="n">
        <x:v>1059</x:v>
      </x:c>
      <x:c r="FS12" s="31" t="n">
        <x:v>46</x:v>
      </x:c>
      <x:c r="FT12" s="31" t="n">
        <x:v>39</x:v>
      </x:c>
      <x:c r="FU12" s="31" t="n">
        <x:v>36</x:v>
      </x:c>
      <x:c r="FV12" s="31" t="n">
        <x:v>646</x:v>
      </x:c>
      <x:c r="FW12" s="31" t="n">
        <x:v>1826</x:v>
      </x:c>
      <x:c r="FX12" s="31" t="n">
        <x:v>434</x:v>
      </x:c>
      <x:c r="FY12" s="31" t="n">
        <x:v>88</x:v>
      </x:c>
      <x:c r="FZ12" s="31" t="n">
        <x:v>5</x:v>
      </x:c>
      <x:c r="GA12" s="31" t="n">
        <x:v>16</x:v>
      </x:c>
      <x:c r="GB12" s="31" t="n">
        <x:v>45</x:v>
      </x:c>
      <x:c r="GC12" s="31" t="n">
        <x:v>449</x:v>
      </x:c>
      <x:c r="GD12" s="31" t="n">
        <x:v>636</x:v>
      </x:c>
      <x:c r="GE12" s="31" t="n">
        <x:v>104</x:v>
      </x:c>
      <x:c r="GF12" s="31" t="n">
        <x:v>49</x:v>
      </x:c>
      <x:c r="GG12" s="31" t="n">
        <x:v>1826</x:v>
      </x:c>
      <x:c r="GH12" s="31" t="n">
        <x:v>133</x:v>
      </x:c>
      <x:c r="GI12" s="31" t="n">
        <x:v>180</x:v>
      </x:c>
      <x:c r="GJ12" s="31" t="n">
        <x:v>708</x:v>
      </x:c>
      <x:c r="GK12" s="31" t="n">
        <x:v>15</x:v>
      </x:c>
      <x:c r="GL12" s="31" t="n">
        <x:v>25</x:v>
      </x:c>
      <x:c r="GM12" s="31" t="n">
        <x:v>15</x:v>
      </x:c>
      <x:c r="GN12" s="31" t="n">
        <x:v>750</x:v>
      </x:c>
      <x:c r="GO12" s="31" t="n">
        <x:v>1826</x:v>
      </x:c>
      <x:c r="GP12" s="31" t="n">
        <x:v>969</x:v>
      </x:c>
      <x:c r="GQ12" s="31" t="n">
        <x:v>3</x:v>
      </x:c>
      <x:c r="GR12" s="31" t="n">
        <x:v>796</x:v>
      </x:c>
      <x:c r="GS12" s="31" t="n">
        <x:v>3</x:v>
      </x:c>
      <x:c r="GT12" s="31" t="n">
        <x:v>2</x:v>
      </x:c>
      <x:c r="GU12" s="31" t="n">
        <x:v>1</x:v>
      </x:c>
      <x:c r="GV12" s="31" t="n">
        <x:v>0</x:v>
      </x:c>
      <x:c r="GW12" s="31" t="n">
        <x:v>52</x:v>
      </x:c>
      <x:c r="GX12" s="31" t="n">
        <x:v>1826</x:v>
      </x:c>
      <x:c r="GY12" s="31" t="n">
        <x:v>110</x:v>
      </x:c>
      <x:c r="GZ12" s="31" t="n">
        <x:v>9</x:v>
      </x:c>
      <x:c r="HA12" s="31" t="n">
        <x:v>79</x:v>
      </x:c>
      <x:c r="HB12" s="31" t="n">
        <x:v>35</x:v>
      </x:c>
      <x:c r="HC12" s="31" t="n">
        <x:v>957</x:v>
      </x:c>
      <x:c r="HD12" s="31" t="n">
        <x:v>479</x:v>
      </x:c>
      <x:c r="HE12" s="31" t="n">
        <x:v>157</x:v>
      </x:c>
      <x:c r="HF12" s="31" t="n">
        <x:v>1826</x:v>
      </x:c>
      <x:c r="HG12" s="31" t="n">
        <x:v>1246</x:v>
      </x:c>
      <x:c r="HH12" s="31" t="n">
        <x:v>608</x:v>
      </x:c>
      <x:c r="HI12" s="31" t="n">
        <x:v>1467</x:v>
      </x:c>
      <x:c r="HJ12" s="31" t="n">
        <x:v>1055</x:v>
      </x:c>
      <x:c r="HK12" s="31" t="str">
        <x:v>Ficha_INE_Cotapata.pdf</x:v>
      </x:c>
      <x:c r="HL12" s="31" t="str">
        <x:v>Instituto Nacional de Estadística, Censo de Población y Vivienda 2024</x:v>
      </x:c>
    </x:row>
    <x:row r="13" ht="20" customHeight="1">
      <x:c r="A13" s="31" t="str">
        <x:v>AP-1601</x:v>
      </x:c>
      <x:c r="B13" s="31" t="str">
        <x:v>Madidi</x:v>
      </x:c>
      <x:c r="C13" s="31" t="n">
        <x:v>17</x:v>
      </x:c>
      <x:c r="D13" s="31" t="str">
        <x:v>Sí</x:v>
      </x:c>
      <x:c r="E13" s="31" t="str">
        <x:v>LA PAZ</x:v>
      </x:c>
      <x:c r="F13" s="31" t="str">
        <x:v>FRANZ TAMAYO, ABEL ITURRALDE</x:v>
      </x:c>
      <x:c r="G13" s="31" t="str">
        <x:v>APOLO, PELECHUCO, SAN BUENAVENTURA</x:v>
      </x:c>
      <x:c r="H13" s="31" t="n">
        <x:v>4884</x:v>
      </x:c>
      <x:c r="I13" s="31" t="n">
        <x:v>2703</x:v>
      </x:c>
      <x:c r="J13" s="31" t="n">
        <x:v>2181</x:v>
      </x:c>
      <x:c r="K13" s="31" t="n">
        <x:v>1964</x:v>
      </x:c>
      <x:c r="L13" s="31" t="n">
        <x:v>997</x:v>
      </x:c>
      <x:c r="M13" s="31" t="n">
        <x:v>967</x:v>
      </x:c>
      <x:c r="N13" s="31" t="n">
        <x:v>1544</x:v>
      </x:c>
      <x:c r="O13" s="31" t="n">
        <x:v>903</x:v>
      </x:c>
      <x:c r="P13" s="31" t="n">
        <x:v>641</x:v>
      </x:c>
      <x:c r="Q13" s="31" t="n">
        <x:v>933</x:v>
      </x:c>
      <x:c r="R13" s="31" t="n">
        <x:v>553</x:v>
      </x:c>
      <x:c r="S13" s="31" t="n">
        <x:v>380</x:v>
      </x:c>
      <x:c r="T13" s="31" t="n">
        <x:v>443</x:v>
      </x:c>
      <x:c r="U13" s="31" t="n">
        <x:v>250</x:v>
      </x:c>
      <x:c r="V13" s="31" t="n">
        <x:v>193</x:v>
      </x:c>
      <x:c r="W13" s="31" t="n">
        <x:v>4884</x:v>
      </x:c>
      <x:c r="X13" s="31" t="n">
        <x:v>2703</x:v>
      </x:c>
      <x:c r="Y13" s="31" t="n">
        <x:v>2181</x:v>
      </x:c>
      <x:c r="Z13" s="31" t="n">
        <x:v>3776</x:v>
      </x:c>
      <x:c r="AA13" s="31" t="n">
        <x:v>2057</x:v>
      </x:c>
      <x:c r="AB13" s="31" t="n">
        <x:v>1719</x:v>
      </x:c>
      <x:c r="AC13" s="31" t="n">
        <x:v>941</x:v>
      </x:c>
      <x:c r="AD13" s="31" t="n">
        <x:v>551</x:v>
      </x:c>
      <x:c r="AE13" s="31" t="n">
        <x:v>390</x:v>
      </x:c>
      <x:c r="AF13" s="31" t="n">
        <x:v>80</x:v>
      </x:c>
      <x:c r="AG13" s="31" t="n">
        <x:v>47</x:v>
      </x:c>
      <x:c r="AH13" s="31" t="n">
        <x:v>33</x:v>
      </x:c>
      <x:c r="AI13" s="31" t="n">
        <x:v>87</x:v>
      </x:c>
      <x:c r="AJ13" s="31" t="n">
        <x:v>48</x:v>
      </x:c>
      <x:c r="AK13" s="31" t="n">
        <x:v>39</x:v>
      </x:c>
      <x:c r="AL13" s="31" t="n">
        <x:v>4884</x:v>
      </x:c>
      <x:c r="AM13" s="31" t="n">
        <x:v>2703</x:v>
      </x:c>
      <x:c r="AN13" s="31" t="n">
        <x:v>2181</x:v>
      </x:c>
      <x:c r="AO13" s="31" t="n">
        <x:v>4623</x:v>
      </x:c>
      <x:c r="AP13" s="31" t="n">
        <x:v>2519</x:v>
      </x:c>
      <x:c r="AQ13" s="31" t="n">
        <x:v>2104</x:v>
      </x:c>
      <x:c r="AR13" s="31" t="n">
        <x:v>173</x:v>
      </x:c>
      <x:c r="AS13" s="31" t="n">
        <x:v>128</x:v>
      </x:c>
      <x:c r="AT13" s="31" t="n">
        <x:v>45</x:v>
      </x:c>
      <x:c r="AU13" s="31" t="n">
        <x:v>30</x:v>
      </x:c>
      <x:c r="AV13" s="31" t="n">
        <x:v>16</x:v>
      </x:c>
      <x:c r="AW13" s="31" t="n">
        <x:v>14</x:v>
      </x:c>
      <x:c r="AX13" s="31" t="n">
        <x:v>58</x:v>
      </x:c>
      <x:c r="AY13" s="31" t="n">
        <x:v>40</x:v>
      </x:c>
      <x:c r="AZ13" s="31" t="n">
        <x:v>18</x:v>
      </x:c>
      <x:c r="BA13" s="31" t="n">
        <x:v>2919</x:v>
      </x:c>
      <x:c r="BB13" s="31" t="n">
        <x:v>1708</x:v>
      </x:c>
      <x:c r="BC13" s="31" t="n">
        <x:v>1211</x:v>
      </x:c>
      <x:c r="BD13" s="31" t="n">
        <x:v>271</x:v>
      </x:c>
      <x:c r="BE13" s="31" t="n">
        <x:v>105</x:v>
      </x:c>
      <x:c r="BF13" s="31" t="n">
        <x:v>166</x:v>
      </x:c>
      <x:c r="BG13" s="31" t="n">
        <x:v>916</x:v>
      </x:c>
      <x:c r="BH13" s="31" t="n">
        <x:v>518</x:v>
      </x:c>
      <x:c r="BI13" s="31" t="n">
        <x:v>398</x:v>
      </x:c>
      <x:c r="BJ13" s="31" t="n">
        <x:v>1422</x:v>
      </x:c>
      <x:c r="BK13" s="31" t="n">
        <x:v>907</x:v>
      </x:c>
      <x:c r="BL13" s="31" t="n">
        <x:v>515</x:v>
      </x:c>
      <x:c r="BM13" s="31" t="n">
        <x:v>266</x:v>
      </x:c>
      <x:c r="BN13" s="31" t="n">
        <x:v>156</x:v>
      </x:c>
      <x:c r="BO13" s="31" t="n">
        <x:v>110</x:v>
      </x:c>
      <x:c r="BP13" s="31" t="n">
        <x:v>44</x:v>
      </x:c>
      <x:c r="BQ13" s="31" t="n">
        <x:v>22</x:v>
      </x:c>
      <x:c r="BR13" s="31" t="n">
        <x:v>22</x:v>
      </x:c>
      <x:c r="BS13" s="31" t="n">
        <x:v>2544</x:v>
      </x:c>
      <x:c r="BT13" s="31" t="n">
        <x:v>1565</x:v>
      </x:c>
      <x:c r="BU13" s="31" t="n">
        <x:v>979</x:v>
      </x:c>
      <x:c r="BV13" s="31" t="n">
        <x:v>325</x:v>
      </x:c>
      <x:c r="BW13" s="31" t="n">
        <x:v>235</x:v>
      </x:c>
      <x:c r="BX13" s="31" t="n">
        <x:v>90</x:v>
      </x:c>
      <x:c r="BY13" s="31" t="n">
        <x:v>1496</x:v>
      </x:c>
      <x:c r="BZ13" s="31" t="n">
        <x:v>982</x:v>
      </x:c>
      <x:c r="CA13" s="31" t="n">
        <x:v>514</x:v>
      </x:c>
      <x:c r="CB13" s="31" t="n">
        <x:v>444</x:v>
      </x:c>
      <x:c r="CC13" s="31" t="n">
        <x:v>149</x:v>
      </x:c>
      <x:c r="CD13" s="31" t="n">
        <x:v>295</x:v>
      </x:c>
      <x:c r="CE13" s="31" t="n">
        <x:v>279</x:v>
      </x:c>
      <x:c r="CF13" s="31" t="n">
        <x:v>199</x:v>
      </x:c>
      <x:c r="CG13" s="31" t="n">
        <x:v>80</x:v>
      </x:c>
      <x:c r="CH13" s="31" t="n">
        <x:v>4884</x:v>
      </x:c>
      <x:c r="CI13" s="31" t="n">
        <x:v>2703</x:v>
      </x:c>
      <x:c r="CJ13" s="31" t="n">
        <x:v>2181</x:v>
      </x:c>
      <x:c r="CK13" s="31" t="n">
        <x:v>3613</x:v>
      </x:c>
      <x:c r="CL13" s="31" t="n">
        <x:v>1941</x:v>
      </x:c>
      <x:c r="CM13" s="31" t="n">
        <x:v>1672</x:v>
      </x:c>
      <x:c r="CN13" s="31" t="n">
        <x:v>282</x:v>
      </x:c>
      <x:c r="CO13" s="31" t="n">
        <x:v>156</x:v>
      </x:c>
      <x:c r="CP13" s="31" t="n">
        <x:v>126</x:v>
      </x:c>
      <x:c r="CQ13" s="31" t="n">
        <x:v>345</x:v>
      </x:c>
      <x:c r="CR13" s="31" t="n">
        <x:v>186</x:v>
      </x:c>
      <x:c r="CS13" s="31" t="n">
        <x:v>159</x:v>
      </x:c>
      <x:c r="CT13" s="31" t="n">
        <x:v>550</x:v>
      </x:c>
      <x:c r="CU13" s="31" t="n">
        <x:v>268</x:v>
      </x:c>
      <x:c r="CV13" s="31" t="n">
        <x:v>282</x:v>
      </x:c>
      <x:c r="CW13" s="31" t="n">
        <x:v>2037</x:v>
      </x:c>
      <x:c r="CX13" s="31" t="n">
        <x:v>1130</x:v>
      </x:c>
      <x:c r="CY13" s="31" t="n">
        <x:v>907</x:v>
      </x:c>
      <x:c r="CZ13" s="31" t="n">
        <x:v>1976</x:v>
      </x:c>
      <x:c r="DA13" s="31" t="n">
        <x:v>1056</x:v>
      </x:c>
      <x:c r="DB13" s="31" t="n">
        <x:v>920</x:v>
      </x:c>
      <x:c r="DC13" s="31" t="n">
        <x:v>3526</x:v>
      </x:c>
      <x:c r="DD13" s="31" t="n">
        <x:v>1899</x:v>
      </x:c>
      <x:c r="DE13" s="31" t="n">
        <x:v>1627</x:v>
      </x:c>
      <x:c r="DF13" s="31" t="n">
        <x:v>2544</x:v>
      </x:c>
      <x:c r="DG13" s="31" t="n">
        <x:v>1565</x:v>
      </x:c>
      <x:c r="DH13" s="31" t="n">
        <x:v>979</x:v>
      </x:c>
      <x:c r="DI13" s="31" t="n">
        <x:v>1902</x:v>
      </x:c>
      <x:c r="DJ13" s="31" t="n">
        <x:v>1162</x:v>
      </x:c>
      <x:c r="DK13" s="31" t="n">
        <x:v>740</x:v>
      </x:c>
      <x:c r="DL13" s="31" t="n">
        <x:v>91</x:v>
      </x:c>
      <x:c r="DM13" s="31" t="n">
        <x:v>45</x:v>
      </x:c>
      <x:c r="DN13" s="31" t="n">
        <x:v>46</x:v>
      </x:c>
      <x:c r="DO13" s="31" t="n">
        <x:v>40</x:v>
      </x:c>
      <x:c r="DP13" s="31" t="n">
        <x:v>24</x:v>
      </x:c>
      <x:c r="DQ13" s="31" t="n">
        <x:v>16</x:v>
      </x:c>
      <x:c r="DR13" s="31" t="n">
        <x:v>71</x:v>
      </x:c>
      <x:c r="DS13" s="31" t="n">
        <x:v>69</x:v>
      </x:c>
      <x:c r="DT13" s="31" t="n">
        <x:v>2</x:v>
      </x:c>
      <x:c r="DU13" s="31" t="n">
        <x:v>39</x:v>
      </x:c>
      <x:c r="DV13" s="31" t="n">
        <x:v>37</x:v>
      </x:c>
      <x:c r="DW13" s="31" t="n">
        <x:v>2</x:v>
      </x:c>
      <x:c r="DX13" s="31" t="n">
        <x:v>50</x:v>
      </x:c>
      <x:c r="DY13" s="31" t="n">
        <x:v>6</x:v>
      </x:c>
      <x:c r="DZ13" s="31" t="n">
        <x:v>44</x:v>
      </x:c>
      <x:c r="EA13" s="31" t="n">
        <x:v>46</x:v>
      </x:c>
      <x:c r="EB13" s="31" t="n">
        <x:v>28</x:v>
      </x:c>
      <x:c r="EC13" s="31" t="n">
        <x:v>18</x:v>
      </x:c>
      <x:c r="ED13" s="31" t="n">
        <x:v>9</x:v>
      </x:c>
      <x:c r="EE13" s="31" t="n">
        <x:v>3</x:v>
      </x:c>
      <x:c r="EF13" s="31" t="n">
        <x:v>6</x:v>
      </x:c>
      <x:c r="EG13" s="31" t="n">
        <x:v>219</x:v>
      </x:c>
      <x:c r="EH13" s="31" t="n">
        <x:v>155</x:v>
      </x:c>
      <x:c r="EI13" s="31" t="n">
        <x:v>64</x:v>
      </x:c>
      <x:c r="EJ13" s="31" t="n">
        <x:v>77</x:v>
      </x:c>
      <x:c r="EK13" s="31" t="n">
        <x:v>36</x:v>
      </x:c>
      <x:c r="EL13" s="31" t="n">
        <x:v>41</x:v>
      </x:c>
      <x:c r="EM13" s="31" t="n">
        <x:v>4796</x:v>
      </x:c>
      <x:c r="EN13" s="31" t="n">
        <x:v>2647</x:v>
      </x:c>
      <x:c r="EO13" s="31" t="n">
        <x:v>2149</x:v>
      </x:c>
      <x:c r="EP13" s="31" t="n">
        <x:v>3447</x:v>
      </x:c>
      <x:c r="EQ13" s="31" t="n">
        <x:v>1825</x:v>
      </x:c>
      <x:c r="ER13" s="31" t="n">
        <x:v>1622</x:v>
      </x:c>
      <x:c r="ES13" s="31" t="n">
        <x:v>158</x:v>
      </x:c>
      <x:c r="ET13" s="31" t="n">
        <x:v>99</x:v>
      </x:c>
      <x:c r="EU13" s="31" t="n">
        <x:v>59</x:v>
      </x:c>
      <x:c r="EV13" s="31" t="n">
        <x:v>11</x:v>
      </x:c>
      <x:c r="EW13" s="31" t="n">
        <x:v>8</x:v>
      </x:c>
      <x:c r="EX13" s="31" t="n">
        <x:v>3</x:v>
      </x:c>
      <x:c r="EY13" s="31" t="n">
        <x:v>1052</x:v>
      </x:c>
      <x:c r="EZ13" s="31" t="n">
        <x:v>651</x:v>
      </x:c>
      <x:c r="FA13" s="31" t="n">
        <x:v>401</x:v>
      </x:c>
      <x:c r="FB13" s="31" t="n">
        <x:v>128</x:v>
      </x:c>
      <x:c r="FC13" s="31" t="n">
        <x:v>64</x:v>
      </x:c>
      <x:c r="FD13" s="31" t="n">
        <x:v>64</x:v>
      </x:c>
      <x:c r="FE13" s="31" t="n">
        <x:v>1690</x:v>
      </x:c>
      <x:c r="FF13" s="31" t="n">
        <x:v>1673</x:v>
      </x:c>
      <x:c r="FG13" s="31" t="n">
        <x:v>1440</x:v>
      </x:c>
      <x:c r="FH13" s="31" t="n">
        <x:v>125</x:v>
      </x:c>
      <x:c r="FI13" s="31" t="n">
        <x:v>108</x:v>
      </x:c>
      <x:c r="FJ13" s="31" t="n">
        <x:v>17</x:v>
      </x:c>
      <x:c r="FK13" s="31" t="n">
        <x:v>1440</x:v>
      </x:c>
      <x:c r="FL13" s="31" t="n">
        <x:v>1272</x:v>
      </x:c>
      <x:c r="FM13" s="31" t="n">
        <x:v>18</x:v>
      </x:c>
      <x:c r="FN13" s="31" t="n">
        <x:v>1</x:v>
      </x:c>
      <x:c r="FO13" s="31" t="n">
        <x:v>103</x:v>
      </x:c>
      <x:c r="FP13" s="31" t="n">
        <x:v>46</x:v>
      </x:c>
      <x:c r="FQ13" s="31" t="n">
        <x:v>1440</x:v>
      </x:c>
      <x:c r="FR13" s="31" t="n">
        <x:v>660</x:v>
      </x:c>
      <x:c r="FS13" s="31" t="n">
        <x:v>60</x:v>
      </x:c>
      <x:c r="FT13" s="31" t="n">
        <x:v>137</x:v>
      </x:c>
      <x:c r="FU13" s="31" t="n">
        <x:v>48</x:v>
      </x:c>
      <x:c r="FV13" s="31" t="n">
        <x:v>535</x:v>
      </x:c>
      <x:c r="FW13" s="31" t="n">
        <x:v>1440</x:v>
      </x:c>
      <x:c r="FX13" s="31" t="n">
        <x:v>797</x:v>
      </x:c>
      <x:c r="FY13" s="31" t="n">
        <x:v>110</x:v>
      </x:c>
      <x:c r="FZ13" s="31" t="n">
        <x:v>3</x:v>
      </x:c>
      <x:c r="GA13" s="31" t="n">
        <x:v>10</x:v>
      </x:c>
      <x:c r="GB13" s="31" t="n">
        <x:v>62</x:v>
      </x:c>
      <x:c r="GC13" s="31" t="n">
        <x:v>264</x:v>
      </x:c>
      <x:c r="GD13" s="31" t="n">
        <x:v>102</x:v>
      </x:c>
      <x:c r="GE13" s="31" t="n">
        <x:v>61</x:v>
      </x:c>
      <x:c r="GF13" s="31" t="n">
        <x:v>31</x:v>
      </x:c>
      <x:c r="GG13" s="31" t="n">
        <x:v>1440</x:v>
      </x:c>
      <x:c r="GH13" s="31" t="n">
        <x:v>43</x:v>
      </x:c>
      <x:c r="GI13" s="31" t="n">
        <x:v>77</x:v>
      </x:c>
      <x:c r="GJ13" s="31" t="n">
        <x:v>447</x:v>
      </x:c>
      <x:c r="GK13" s="31" t="n">
        <x:v>31</x:v>
      </x:c>
      <x:c r="GL13" s="31" t="n">
        <x:v>4</x:v>
      </x:c>
      <x:c r="GM13" s="31" t="n">
        <x:v>6</x:v>
      </x:c>
      <x:c r="GN13" s="31" t="n">
        <x:v>832</x:v>
      </x:c>
      <x:c r="GO13" s="31" t="n">
        <x:v>1440</x:v>
      </x:c>
      <x:c r="GP13" s="31" t="n">
        <x:v>461</x:v>
      </x:c>
      <x:c r="GQ13" s="31" t="n">
        <x:v>2</x:v>
      </x:c>
      <x:c r="GR13" s="31" t="n">
        <x:v>959</x:v>
      </x:c>
      <x:c r="GS13" s="31" t="n">
        <x:v>4</x:v>
      </x:c>
      <x:c r="GT13" s="31" t="n">
        <x:v>0</x:v>
      </x:c>
      <x:c r="GU13" s="31" t="n">
        <x:v>0</x:v>
      </x:c>
      <x:c r="GV13" s="31" t="n">
        <x:v>0</x:v>
      </x:c>
      <x:c r="GW13" s="31" t="n">
        <x:v>14</x:v>
      </x:c>
      <x:c r="GX13" s="31" t="n">
        <x:v>1440</x:v>
      </x:c>
      <x:c r="GY13" s="31" t="n">
        <x:v>65</x:v>
      </x:c>
      <x:c r="GZ13" s="31" t="n">
        <x:v>3</x:v>
      </x:c>
      <x:c r="HA13" s="31" t="n">
        <x:v>169</x:v>
      </x:c>
      <x:c r="HB13" s="31" t="n">
        <x:v>46</x:v>
      </x:c>
      <x:c r="HC13" s="31" t="n">
        <x:v>842</x:v>
      </x:c>
      <x:c r="HD13" s="31" t="n">
        <x:v>264</x:v>
      </x:c>
      <x:c r="HE13" s="31" t="n">
        <x:v>51</x:v>
      </x:c>
      <x:c r="HF13" s="31" t="n">
        <x:v>1440</x:v>
      </x:c>
      <x:c r="HG13" s="31" t="n">
        <x:v>595</x:v>
      </x:c>
      <x:c r="HH13" s="31" t="n">
        <x:v>535</x:v>
      </x:c>
      <x:c r="HI13" s="31" t="n">
        <x:v>963</x:v>
      </x:c>
      <x:c r="HJ13" s="31" t="n">
        <x:v>465</x:v>
      </x:c>
      <x:c r="HK13" s="31" t="str">
        <x:v>Ficha_INE_Madidi.pdf</x:v>
      </x:c>
      <x:c r="HL13" s="31" t="str">
        <x:v>Instituto Nacional de Estadística, Censo de Población y Vivienda 2024</x:v>
      </x:c>
    </x:row>
    <x:row r="14" ht="20" customHeight="1">
      <x:c r="A14" s="31" t="str">
        <x:v>AP-1805</x:v>
      </x:c>
      <x:c r="B14" s="31" t="str">
        <x:v>El Palmar</x:v>
      </x:c>
      <x:c r="C14" s="31" t="n">
        <x:v>19</x:v>
      </x:c>
      <x:c r="D14" s="31" t="str">
        <x:v>Sí</x:v>
      </x:c>
      <x:c r="E14" s="31" t="str">
        <x:v>CHUQUISACA</x:v>
      </x:c>
      <x:c r="F14" s="31" t="str">
        <x:v>ZUDÁÑEZ</x:v>
      </x:c>
      <x:c r="G14" s="31" t="str">
        <x:v>PRESTO</x:v>
      </x:c>
      <x:c r="H14" s="31" t="n">
        <x:v>3705</x:v>
      </x:c>
      <x:c r="I14" s="31" t="n">
        <x:v>1937</x:v>
      </x:c>
      <x:c r="J14" s="31" t="n">
        <x:v>1768</x:v>
      </x:c>
      <x:c r="K14" s="31" t="n">
        <x:v>1525</x:v>
      </x:c>
      <x:c r="L14" s="31" t="n">
        <x:v>805</x:v>
      </x:c>
      <x:c r="M14" s="31" t="n">
        <x:v>720</x:v>
      </x:c>
      <x:c r="N14" s="31" t="n">
        <x:v>1127</x:v>
      </x:c>
      <x:c r="O14" s="31" t="n">
        <x:v>600</x:v>
      </x:c>
      <x:c r="P14" s="31" t="n">
        <x:v>527</x:v>
      </x:c>
      <x:c r="Q14" s="31" t="n">
        <x:v>644</x:v>
      </x:c>
      <x:c r="R14" s="31" t="n">
        <x:v>334</x:v>
      </x:c>
      <x:c r="S14" s="31" t="n">
        <x:v>310</x:v>
      </x:c>
      <x:c r="T14" s="31" t="n">
        <x:v>409</x:v>
      </x:c>
      <x:c r="U14" s="31" t="n">
        <x:v>198</x:v>
      </x:c>
      <x:c r="V14" s="31" t="n">
        <x:v>211</x:v>
      </x:c>
      <x:c r="W14" s="31" t="n">
        <x:v>3705</x:v>
      </x:c>
      <x:c r="X14" s="31" t="n">
        <x:v>1937</x:v>
      </x:c>
      <x:c r="Y14" s="31" t="n">
        <x:v>1768</x:v>
      </x:c>
      <x:c r="Z14" s="31" t="n">
        <x:v>3381</x:v>
      </x:c>
      <x:c r="AA14" s="31" t="n">
        <x:v>1790</x:v>
      </x:c>
      <x:c r="AB14" s="31" t="n">
        <x:v>1591</x:v>
      </x:c>
      <x:c r="AC14" s="31" t="n">
        <x:v>263</x:v>
      </x:c>
      <x:c r="AD14" s="31" t="n">
        <x:v>115</x:v>
      </x:c>
      <x:c r="AE14" s="31" t="n">
        <x:v>148</x:v>
      </x:c>
      <x:c r="AF14" s="31" t="n">
        <x:v>12</x:v>
      </x:c>
      <x:c r="AG14" s="31" t="n">
        <x:v>9</x:v>
      </x:c>
      <x:c r="AH14" s="31" t="n">
        <x:v>3</x:v>
      </x:c>
      <x:c r="AI14" s="31" t="n">
        <x:v>49</x:v>
      </x:c>
      <x:c r="AJ14" s="31" t="n">
        <x:v>23</x:v>
      </x:c>
      <x:c r="AK14" s="31" t="n">
        <x:v>26</x:v>
      </x:c>
      <x:c r="AL14" s="31" t="n">
        <x:v>3705</x:v>
      </x:c>
      <x:c r="AM14" s="31" t="n">
        <x:v>1937</x:v>
      </x:c>
      <x:c r="AN14" s="31" t="n">
        <x:v>1768</x:v>
      </x:c>
      <x:c r="AO14" s="31" t="n">
        <x:v>3488</x:v>
      </x:c>
      <x:c r="AP14" s="31" t="n">
        <x:v>1815</x:v>
      </x:c>
      <x:c r="AQ14" s="31" t="n">
        <x:v>1673</x:v>
      </x:c>
      <x:c r="AR14" s="31" t="n">
        <x:v>178</x:v>
      </x:c>
      <x:c r="AS14" s="31" t="n">
        <x:v>100</x:v>
      </x:c>
      <x:c r="AT14" s="31" t="n">
        <x:v>78</x:v>
      </x:c>
      <x:c r="AU14" s="31" t="n">
        <x:v>4</x:v>
      </x:c>
      <x:c r="AV14" s="31" t="n">
        <x:v>2</x:v>
      </x:c>
      <x:c r="AW14" s="31" t="n">
        <x:v>2</x:v>
      </x:c>
      <x:c r="AX14" s="31" t="n">
        <x:v>35</x:v>
      </x:c>
      <x:c r="AY14" s="31" t="n">
        <x:v>20</x:v>
      </x:c>
      <x:c r="AZ14" s="31" t="n">
        <x:v>15</x:v>
      </x:c>
      <x:c r="BA14" s="31" t="n">
        <x:v>2226</x:v>
      </x:c>
      <x:c r="BB14" s="31" t="n">
        <x:v>1158</x:v>
      </x:c>
      <x:c r="BC14" s="31" t="n">
        <x:v>1068</x:v>
      </x:c>
      <x:c r="BD14" s="31" t="n">
        <x:v>500</x:v>
      </x:c>
      <x:c r="BE14" s="31" t="n">
        <x:v>184</x:v>
      </x:c>
      <x:c r="BF14" s="31" t="n">
        <x:v>316</x:v>
      </x:c>
      <x:c r="BG14" s="31" t="n">
        <x:v>969</x:v>
      </x:c>
      <x:c r="BH14" s="31" t="n">
        <x:v>523</x:v>
      </x:c>
      <x:c r="BI14" s="31" t="n">
        <x:v>446</x:v>
      </x:c>
      <x:c r="BJ14" s="31" t="n">
        <x:v>619</x:v>
      </x:c>
      <x:c r="BK14" s="31" t="n">
        <x:v>374</x:v>
      </x:c>
      <x:c r="BL14" s="31" t="n">
        <x:v>245</x:v>
      </x:c>
      <x:c r="BM14" s="31" t="n">
        <x:v>130</x:v>
      </x:c>
      <x:c r="BN14" s="31" t="n">
        <x:v>74</x:v>
      </x:c>
      <x:c r="BO14" s="31" t="n">
        <x:v>56</x:v>
      </x:c>
      <x:c r="BP14" s="31" t="n">
        <x:v>8</x:v>
      </x:c>
      <x:c r="BQ14" s="31" t="n">
        <x:v>3</x:v>
      </x:c>
      <x:c r="BR14" s="31" t="n">
        <x:v>5</x:v>
      </x:c>
      <x:c r="BS14" s="31" t="n">
        <x:v>2134</x:v>
      </x:c>
      <x:c r="BT14" s="31" t="n">
        <x:v>1215</x:v>
      </x:c>
      <x:c r="BU14" s="31" t="n">
        <x:v>919</x:v>
      </x:c>
      <x:c r="BV14" s="31" t="n">
        <x:v>280</x:v>
      </x:c>
      <x:c r="BW14" s="31" t="n">
        <x:v>219</x:v>
      </x:c>
      <x:c r="BX14" s="31" t="n">
        <x:v>61</x:v>
      </x:c>
      <x:c r="BY14" s="31" t="n">
        <x:v>974</x:v>
      </x:c>
      <x:c r="BZ14" s="31" t="n">
        <x:v>603</x:v>
      </x:c>
      <x:c r="CA14" s="31" t="n">
        <x:v>371</x:v>
      </x:c>
      <x:c r="CB14" s="31" t="n">
        <x:v>556</x:v>
      </x:c>
      <x:c r="CC14" s="31" t="n">
        <x:v>155</x:v>
      </x:c>
      <x:c r="CD14" s="31" t="n">
        <x:v>401</x:v>
      </x:c>
      <x:c r="CE14" s="31" t="n">
        <x:v>324</x:v>
      </x:c>
      <x:c r="CF14" s="31" t="n">
        <x:v>238</x:v>
      </x:c>
      <x:c r="CG14" s="31" t="n">
        <x:v>86</x:v>
      </x:c>
      <x:c r="CH14" s="31" t="n">
        <x:v>3705</x:v>
      </x:c>
      <x:c r="CI14" s="31" t="n">
        <x:v>1937</x:v>
      </x:c>
      <x:c r="CJ14" s="31" t="n">
        <x:v>1768</x:v>
      </x:c>
      <x:c r="CK14" s="31" t="n">
        <x:v>3410</x:v>
      </x:c>
      <x:c r="CL14" s="31" t="n">
        <x:v>1782</x:v>
      </x:c>
      <x:c r="CM14" s="31" t="n">
        <x:v>1628</x:v>
      </x:c>
      <x:c r="CN14" s="31" t="n">
        <x:v>126</x:v>
      </x:c>
      <x:c r="CO14" s="31" t="n">
        <x:v>61</x:v>
      </x:c>
      <x:c r="CP14" s="31" t="n">
        <x:v>65</x:v>
      </x:c>
      <x:c r="CQ14" s="31" t="n">
        <x:v>215</x:v>
      </x:c>
      <x:c r="CR14" s="31" t="n">
        <x:v>98</x:v>
      </x:c>
      <x:c r="CS14" s="31" t="n">
        <x:v>117</x:v>
      </x:c>
      <x:c r="CT14" s="31" t="n">
        <x:v>1031</x:v>
      </x:c>
      <x:c r="CU14" s="31" t="n">
        <x:v>495</x:v>
      </x:c>
      <x:c r="CV14" s="31" t="n">
        <x:v>536</x:v>
      </x:c>
      <x:c r="CW14" s="31" t="n">
        <x:v>1713</x:v>
      </x:c>
      <x:c r="CX14" s="31" t="n">
        <x:v>881</x:v>
      </x:c>
      <x:c r="CY14" s="31" t="n">
        <x:v>832</x:v>
      </x:c>
      <x:c r="CZ14" s="31" t="n">
        <x:v>1038</x:v>
      </x:c>
      <x:c r="DA14" s="31" t="n">
        <x:v>545</x:v>
      </x:c>
      <x:c r="DB14" s="31" t="n">
        <x:v>493</x:v>
      </x:c>
      <x:c r="DC14" s="31" t="n">
        <x:v>2854</x:v>
      </x:c>
      <x:c r="DD14" s="31" t="n">
        <x:v>1478</x:v>
      </x:c>
      <x:c r="DE14" s="31" t="n">
        <x:v>1376</x:v>
      </x:c>
      <x:c r="DF14" s="31" t="n">
        <x:v>2134</x:v>
      </x:c>
      <x:c r="DG14" s="31" t="n">
        <x:v>1215</x:v>
      </x:c>
      <x:c r="DH14" s="31" t="n">
        <x:v>919</x:v>
      </x:c>
      <x:c r="DI14" s="31" t="n">
        <x:v>1497</x:v>
      </x:c>
      <x:c r="DJ14" s="31" t="n">
        <x:v>841</x:v>
      </x:c>
      <x:c r="DK14" s="31" t="n">
        <x:v>656</x:v>
      </x:c>
      <x:c r="DL14" s="31" t="n">
        <x:v>91</x:v>
      </x:c>
      <x:c r="DM14" s="31" t="n">
        <x:v>31</x:v>
      </x:c>
      <x:c r="DN14" s="31" t="n">
        <x:v>60</x:v>
      </x:c>
      <x:c r="DO14" s="31" t="n">
        <x:v>58</x:v>
      </x:c>
      <x:c r="DP14" s="31" t="n">
        <x:v>28</x:v>
      </x:c>
      <x:c r="DQ14" s="31" t="n">
        <x:v>30</x:v>
      </x:c>
      <x:c r="DR14" s="31" t="n">
        <x:v>228</x:v>
      </x:c>
      <x:c r="DS14" s="31" t="n">
        <x:v>225</x:v>
      </x:c>
      <x:c r="DT14" s="31" t="n">
        <x:v>3</x:v>
      </x:c>
      <x:c r="DU14" s="31" t="n">
        <x:v>17</x:v>
      </x:c>
      <x:c r="DV14" s="31" t="n">
        <x:v>17</x:v>
      </x:c>
      <x:c r="DW14" s="31" t="n">
        <x:v>0</x:v>
      </x:c>
      <x:c r="DX14" s="31" t="n">
        <x:v>45</x:v>
      </x:c>
      <x:c r="DY14" s="31" t="n">
        <x:v>1</x:v>
      </x:c>
      <x:c r="DZ14" s="31" t="n">
        <x:v>44</x:v>
      </x:c>
      <x:c r="EA14" s="31" t="n">
        <x:v>28</x:v>
      </x:c>
      <x:c r="EB14" s="31" t="n">
        <x:v>15</x:v>
      </x:c>
      <x:c r="EC14" s="31" t="n">
        <x:v>13</x:v>
      </x:c>
      <x:c r="ED14" s="31" t="n">
        <x:v>10</x:v>
      </x:c>
      <x:c r="EE14" s="31" t="n">
        <x:v>4</x:v>
      </x:c>
      <x:c r="EF14" s="31" t="n">
        <x:v>6</x:v>
      </x:c>
      <x:c r="EG14" s="31" t="n">
        <x:v>99</x:v>
      </x:c>
      <x:c r="EH14" s="31" t="n">
        <x:v>34</x:v>
      </x:c>
      <x:c r="EI14" s="31" t="n">
        <x:v>65</x:v>
      </x:c>
      <x:c r="EJ14" s="31" t="n">
        <x:v>61</x:v>
      </x:c>
      <x:c r="EK14" s="31" t="n">
        <x:v>19</x:v>
      </x:c>
      <x:c r="EL14" s="31" t="n">
        <x:v>42</x:v>
      </x:c>
      <x:c r="EM14" s="31" t="n">
        <x:v>3666</x:v>
      </x:c>
      <x:c r="EN14" s="31" t="n">
        <x:v>1915</x:v>
      </x:c>
      <x:c r="EO14" s="31" t="n">
        <x:v>1751</x:v>
      </x:c>
      <x:c r="EP14" s="31" t="n">
        <x:v>3156</x:v>
      </x:c>
      <x:c r="EQ14" s="31" t="n">
        <x:v>1645</x:v>
      </x:c>
      <x:c r="ER14" s="31" t="n">
        <x:v>1511</x:v>
      </x:c>
      <x:c r="ES14" s="31" t="n">
        <x:v>104</x:v>
      </x:c>
      <x:c r="ET14" s="31" t="n">
        <x:v>54</x:v>
      </x:c>
      <x:c r="EU14" s="31" t="n">
        <x:v>50</x:v>
      </x:c>
      <x:c r="EV14" s="31" t="n">
        <x:v>6</x:v>
      </x:c>
      <x:c r="EW14" s="31" t="n">
        <x:v>2</x:v>
      </x:c>
      <x:c r="EX14" s="31" t="n">
        <x:v>4</x:v>
      </x:c>
      <x:c r="EY14" s="31" t="n">
        <x:v>325</x:v>
      </x:c>
      <x:c r="EZ14" s="31" t="n">
        <x:v>180</x:v>
      </x:c>
      <x:c r="FA14" s="31" t="n">
        <x:v>145</x:v>
      </x:c>
      <x:c r="FB14" s="31" t="n">
        <x:v>75</x:v>
      </x:c>
      <x:c r="FC14" s="31" t="n">
        <x:v>34</x:v>
      </x:c>
      <x:c r="FD14" s="31" t="n">
        <x:v>41</x:v>
      </x:c>
      <x:c r="FE14" s="31" t="n">
        <x:v>1242</x:v>
      </x:c>
      <x:c r="FF14" s="31" t="n">
        <x:v>1239</x:v>
      </x:c>
      <x:c r="FG14" s="31" t="n">
        <x:v>944</x:v>
      </x:c>
      <x:c r="FH14" s="31" t="n">
        <x:v>166</x:v>
      </x:c>
      <x:c r="FI14" s="31" t="n">
        <x:v>129</x:v>
      </x:c>
      <x:c r="FJ14" s="31" t="n">
        <x:v>3</x:v>
      </x:c>
      <x:c r="FK14" s="31" t="n">
        <x:v>944</x:v>
      </x:c>
      <x:c r="FL14" s="31" t="n">
        <x:v>898</x:v>
      </x:c>
      <x:c r="FM14" s="31" t="n">
        <x:v>5</x:v>
      </x:c>
      <x:c r="FN14" s="31" t="n">
        <x:v>1</x:v>
      </x:c>
      <x:c r="FO14" s="31" t="n">
        <x:v>29</x:v>
      </x:c>
      <x:c r="FP14" s="31" t="n">
        <x:v>11</x:v>
      </x:c>
      <x:c r="FQ14" s="31" t="n">
        <x:v>944</x:v>
      </x:c>
      <x:c r="FR14" s="31" t="n">
        <x:v>531</x:v>
      </x:c>
      <x:c r="FS14" s="31" t="n">
        <x:v>2</x:v>
      </x:c>
      <x:c r="FT14" s="31" t="n">
        <x:v>164</x:v>
      </x:c>
      <x:c r="FU14" s="31" t="n">
        <x:v>9</x:v>
      </x:c>
      <x:c r="FV14" s="31" t="n">
        <x:v>238</x:v>
      </x:c>
      <x:c r="FW14" s="31" t="n">
        <x:v>944</x:v>
      </x:c>
      <x:c r="FX14" s="31" t="n">
        <x:v>358</x:v>
      </x:c>
      <x:c r="FY14" s="31" t="n">
        <x:v>98</x:v>
      </x:c>
      <x:c r="FZ14" s="31" t="n">
        <x:v>1</x:v>
      </x:c>
      <x:c r="GA14" s="31" t="n">
        <x:v>3</x:v>
      </x:c>
      <x:c r="GB14" s="31" t="n">
        <x:v>26</x:v>
      </x:c>
      <x:c r="GC14" s="31" t="n">
        <x:v>186</x:v>
      </x:c>
      <x:c r="GD14" s="31" t="n">
        <x:v>164</x:v>
      </x:c>
      <x:c r="GE14" s="31" t="n">
        <x:v>77</x:v>
      </x:c>
      <x:c r="GF14" s="31" t="n">
        <x:v>31</x:v>
      </x:c>
      <x:c r="GG14" s="31" t="n">
        <x:v>944</x:v>
      </x:c>
      <x:c r="GH14" s="31" t="n">
        <x:v>22</x:v>
      </x:c>
      <x:c r="GI14" s="31" t="n">
        <x:v>49</x:v>
      </x:c>
      <x:c r="GJ14" s="31" t="n">
        <x:v>139</x:v>
      </x:c>
      <x:c r="GK14" s="31" t="n">
        <x:v>10</x:v>
      </x:c>
      <x:c r="GL14" s="31" t="n">
        <x:v>4</x:v>
      </x:c>
      <x:c r="GM14" s="31" t="n">
        <x:v>51</x:v>
      </x:c>
      <x:c r="GN14" s="31" t="n">
        <x:v>669</x:v>
      </x:c>
      <x:c r="GO14" s="31" t="n">
        <x:v>944</x:v>
      </x:c>
      <x:c r="GP14" s="31" t="n">
        <x:v>147</x:v>
      </x:c>
      <x:c r="GQ14" s="31" t="n">
        <x:v>1</x:v>
      </x:c>
      <x:c r="GR14" s="31" t="n">
        <x:v>792</x:v>
      </x:c>
      <x:c r="GS14" s="31" t="n">
        <x:v>3</x:v>
      </x:c>
      <x:c r="GT14" s="31" t="n">
        <x:v>0</x:v>
      </x:c>
      <x:c r="GU14" s="31" t="n">
        <x:v>0</x:v>
      </x:c>
      <x:c r="GV14" s="31" t="n">
        <x:v>0</x:v>
      </x:c>
      <x:c r="GW14" s="31" t="n">
        <x:v>1</x:v>
      </x:c>
      <x:c r="GX14" s="31" t="n">
        <x:v>944</x:v>
      </x:c>
      <x:c r="GY14" s="31" t="n">
        <x:v>8</x:v>
      </x:c>
      <x:c r="GZ14" s="31" t="n">
        <x:v>3</x:v>
      </x:c>
      <x:c r="HA14" s="31" t="n">
        <x:v>61</x:v>
      </x:c>
      <x:c r="HB14" s="31" t="n">
        <x:v>51</x:v>
      </x:c>
      <x:c r="HC14" s="31" t="n">
        <x:v>752</x:v>
      </x:c>
      <x:c r="HD14" s="31" t="n">
        <x:v>58</x:v>
      </x:c>
      <x:c r="HE14" s="31" t="n">
        <x:v>11</x:v>
      </x:c>
      <x:c r="HF14" s="31" t="n">
        <x:v>944</x:v>
      </x:c>
      <x:c r="HG14" s="31" t="n">
        <x:v>512</x:v>
      </x:c>
      <x:c r="HH14" s="31" t="n">
        <x:v>198</x:v>
      </x:c>
      <x:c r="HI14" s="31" t="n">
        <x:v>640</x:v>
      </x:c>
      <x:c r="HJ14" s="31" t="n">
        <x:v>490</x:v>
      </x:c>
      <x:c r="HK14" s="31" t="str">
        <x:v>Ficha_INE_El_Palmar.pdf</x:v>
      </x:c>
      <x:c r="HL14" s="31" t="str">
        <x:v>Instituto Nacional de Estadística, Censo de Población y Vivienda 2024</x:v>
      </x:c>
    </x:row>
    <x:row r="15" ht="20" customHeight="1">
      <x:c r="A15" s="31" t="str">
        <x:v>AP-2201</x:v>
      </x:c>
      <x:c r="B15" s="31" t="str">
        <x:v>Iñao</x:v>
      </x:c>
      <x:c r="C15" s="31" t="n">
        <x:v>10</x:v>
      </x:c>
      <x:c r="D15" s="31" t="str">
        <x:v>Sí</x:v>
      </x:c>
      <x:c r="E15" s="31" t="str">
        <x:v>CHUQUISACA</x:v>
      </x:c>
      <x:c r="F15" s="31" t="str">
        <x:v>TOMINA, HERNANDO SILES, BELISARIO BOETO, MÁS 1 PROVINCIAS</x:v>
      </x:c>
      <x:c r="G15" s="31" t="str">
        <x:v>PADILLA, MONTEAGUDO, VILLA SERRANO,</x:v>
      </x:c>
      <x:c r="H15" s="31" t="n">
        <x:v>3248</x:v>
      </x:c>
      <x:c r="I15" s="31" t="n">
        <x:v>1734</x:v>
      </x:c>
      <x:c r="J15" s="31" t="n">
        <x:v>1514</x:v>
      </x:c>
      <x:c r="K15" s="31" t="n">
        <x:v>1260</x:v>
      </x:c>
      <x:c r="L15" s="31" t="n">
        <x:v>618</x:v>
      </x:c>
      <x:c r="M15" s="31" t="n">
        <x:v>642</x:v>
      </x:c>
      <x:c r="N15" s="31" t="n">
        <x:v>909</x:v>
      </x:c>
      <x:c r="O15" s="31" t="n">
        <x:v>514</x:v>
      </x:c>
      <x:c r="P15" s="31" t="n">
        <x:v>395</x:v>
      </x:c>
      <x:c r="Q15" s="31" t="n">
        <x:v>698</x:v>
      </x:c>
      <x:c r="R15" s="31" t="n">
        <x:v>402</x:v>
      </x:c>
      <x:c r="S15" s="31" t="n">
        <x:v>296</x:v>
      </x:c>
      <x:c r="T15" s="31" t="n">
        <x:v>381</x:v>
      </x:c>
      <x:c r="U15" s="31" t="n">
        <x:v>200</x:v>
      </x:c>
      <x:c r="V15" s="31" t="n">
        <x:v>181</x:v>
      </x:c>
      <x:c r="W15" s="31" t="n">
        <x:v>3248</x:v>
      </x:c>
      <x:c r="X15" s="31" t="n">
        <x:v>1734</x:v>
      </x:c>
      <x:c r="Y15" s="31" t="n">
        <x:v>1514</x:v>
      </x:c>
      <x:c r="Z15" s="31" t="n">
        <x:v>2079</x:v>
      </x:c>
      <x:c r="AA15" s="31" t="n">
        <x:v>1115</x:v>
      </x:c>
      <x:c r="AB15" s="31" t="n">
        <x:v>964</x:v>
      </x:c>
      <x:c r="AC15" s="31" t="n">
        <x:v>1135</x:v>
      </x:c>
      <x:c r="AD15" s="31" t="n">
        <x:v>604</x:v>
      </x:c>
      <x:c r="AE15" s="31" t="n">
        <x:v>531</x:v>
      </x:c>
      <x:c r="AF15" s="31" t="n">
        <x:v>11</x:v>
      </x:c>
      <x:c r="AG15" s="31" t="n">
        <x:v>6</x:v>
      </x:c>
      <x:c r="AH15" s="31" t="n">
        <x:v>5</x:v>
      </x:c>
      <x:c r="AI15" s="31" t="n">
        <x:v>23</x:v>
      </x:c>
      <x:c r="AJ15" s="31" t="n">
        <x:v>9</x:v>
      </x:c>
      <x:c r="AK15" s="31" t="n">
        <x:v>14</x:v>
      </x:c>
      <x:c r="AL15" s="31" t="n">
        <x:v>3248</x:v>
      </x:c>
      <x:c r="AM15" s="31" t="n">
        <x:v>1734</x:v>
      </x:c>
      <x:c r="AN15" s="31" t="n">
        <x:v>1514</x:v>
      </x:c>
      <x:c r="AO15" s="31" t="n">
        <x:v>3169</x:v>
      </x:c>
      <x:c r="AP15" s="31" t="n">
        <x:v>1690</x:v>
      </x:c>
      <x:c r="AQ15" s="31" t="n">
        <x:v>1479</x:v>
      </x:c>
      <x:c r="AR15" s="31" t="n">
        <x:v>67</x:v>
      </x:c>
      <x:c r="AS15" s="31" t="n">
        <x:v>38</x:v>
      </x:c>
      <x:c r="AT15" s="31" t="n">
        <x:v>29</x:v>
      </x:c>
      <x:c r="AU15" s="31" t="n">
        <x:v>0</x:v>
      </x:c>
      <x:c r="AV15" s="31" t="n">
        <x:v>0</x:v>
      </x:c>
      <x:c r="AW15" s="31" t="n">
        <x:v>0</x:v>
      </x:c>
      <x:c r="AX15" s="31" t="n">
        <x:v>12</x:v>
      </x:c>
      <x:c r="AY15" s="31" t="n">
        <x:v>6</x:v>
      </x:c>
      <x:c r="AZ15" s="31" t="n">
        <x:v>6</x:v>
      </x:c>
      <x:c r="BA15" s="31" t="n">
        <x:v>2017</x:v>
      </x:c>
      <x:c r="BB15" s="31" t="n">
        <x:v>1133</x:v>
      </x:c>
      <x:c r="BC15" s="31" t="n">
        <x:v>884</x:v>
      </x:c>
      <x:c r="BD15" s="31" t="n">
        <x:v>234</x:v>
      </x:c>
      <x:c r="BE15" s="31" t="n">
        <x:v>93</x:v>
      </x:c>
      <x:c r="BF15" s="31" t="n">
        <x:v>141</x:v>
      </x:c>
      <x:c r="BG15" s="31" t="n">
        <x:v>924</x:v>
      </x:c>
      <x:c r="BH15" s="31" t="n">
        <x:v>543</x:v>
      </x:c>
      <x:c r="BI15" s="31" t="n">
        <x:v>381</x:v>
      </x:c>
      <x:c r="BJ15" s="31" t="n">
        <x:v>565</x:v>
      </x:c>
      <x:c r="BK15" s="31" t="n">
        <x:v>319</x:v>
      </x:c>
      <x:c r="BL15" s="31" t="n">
        <x:v>246</x:v>
      </x:c>
      <x:c r="BM15" s="31" t="n">
        <x:v>277</x:v>
      </x:c>
      <x:c r="BN15" s="31" t="n">
        <x:v>169</x:v>
      </x:c>
      <x:c r="BO15" s="31" t="n">
        <x:v>108</x:v>
      </x:c>
      <x:c r="BP15" s="31" t="n">
        <x:v>17</x:v>
      </x:c>
      <x:c r="BQ15" s="31" t="n">
        <x:v>9</x:v>
      </x:c>
      <x:c r="BR15" s="31" t="n">
        <x:v>8</x:v>
      </x:c>
      <x:c r="BS15" s="31" t="n">
        <x:v>1770</x:v>
      </x:c>
      <x:c r="BT15" s="31" t="n">
        <x:v>1076</x:v>
      </x:c>
      <x:c r="BU15" s="31" t="n">
        <x:v>694</x:v>
      </x:c>
      <x:c r="BV15" s="31" t="n">
        <x:v>196</x:v>
      </x:c>
      <x:c r="BW15" s="31" t="n">
        <x:v>141</x:v>
      </x:c>
      <x:c r="BX15" s="31" t="n">
        <x:v>55</x:v>
      </x:c>
      <x:c r="BY15" s="31" t="n">
        <x:v>1165</x:v>
      </x:c>
      <x:c r="BZ15" s="31" t="n">
        <x:v>788</x:v>
      </x:c>
      <x:c r="CA15" s="31" t="n">
        <x:v>377</x:v>
      </x:c>
      <x:c r="CB15" s="31" t="n">
        <x:v>271</x:v>
      </x:c>
      <x:c r="CC15" s="31" t="n">
        <x:v>68</x:v>
      </x:c>
      <x:c r="CD15" s="31" t="n">
        <x:v>203</x:v>
      </x:c>
      <x:c r="CE15" s="31" t="n">
        <x:v>138</x:v>
      </x:c>
      <x:c r="CF15" s="31" t="n">
        <x:v>79</x:v>
      </x:c>
      <x:c r="CG15" s="31" t="n">
        <x:v>59</x:v>
      </x:c>
      <x:c r="CH15" s="31" t="n">
        <x:v>3248</x:v>
      </x:c>
      <x:c r="CI15" s="31" t="n">
        <x:v>1734</x:v>
      </x:c>
      <x:c r="CJ15" s="31" t="n">
        <x:v>1514</x:v>
      </x:c>
      <x:c r="CK15" s="31" t="n">
        <x:v>3066</x:v>
      </x:c>
      <x:c r="CL15" s="31" t="n">
        <x:v>1624</x:v>
      </x:c>
      <x:c r="CM15" s="31" t="n">
        <x:v>1442</x:v>
      </x:c>
      <x:c r="CN15" s="31" t="n">
        <x:v>188</x:v>
      </x:c>
      <x:c r="CO15" s="31" t="n">
        <x:v>104</x:v>
      </x:c>
      <x:c r="CP15" s="31" t="n">
        <x:v>84</x:v>
      </x:c>
      <x:c r="CQ15" s="31" t="n">
        <x:v>333</x:v>
      </x:c>
      <x:c r="CR15" s="31" t="n">
        <x:v>178</x:v>
      </x:c>
      <x:c r="CS15" s="31" t="n">
        <x:v>155</x:v>
      </x:c>
      <x:c r="CT15" s="31" t="n">
        <x:v>546</x:v>
      </x:c>
      <x:c r="CU15" s="31" t="n">
        <x:v>276</x:v>
      </x:c>
      <x:c r="CV15" s="31" t="n">
        <x:v>270</x:v>
      </x:c>
      <x:c r="CW15" s="31" t="n">
        <x:v>1146</x:v>
      </x:c>
      <x:c r="CX15" s="31" t="n">
        <x:v>626</x:v>
      </x:c>
      <x:c r="CY15" s="31" t="n">
        <x:v>520</x:v>
      </x:c>
      <x:c r="CZ15" s="31" t="n">
        <x:v>1307</x:v>
      </x:c>
      <x:c r="DA15" s="31" t="n">
        <x:v>688</x:v>
      </x:c>
      <x:c r="DB15" s="31" t="n">
        <x:v>619</x:v>
      </x:c>
      <x:c r="DC15" s="31" t="n">
        <x:v>2454</x:v>
      </x:c>
      <x:c r="DD15" s="31" t="n">
        <x:v>1274</x:v>
      </x:c>
      <x:c r="DE15" s="31" t="n">
        <x:v>1180</x:v>
      </x:c>
      <x:c r="DF15" s="31" t="n">
        <x:v>1770</x:v>
      </x:c>
      <x:c r="DG15" s="31" t="n">
        <x:v>1076</x:v>
      </x:c>
      <x:c r="DH15" s="31" t="n">
        <x:v>694</x:v>
      </x:c>
      <x:c r="DI15" s="31" t="n">
        <x:v>1400</x:v>
      </x:c>
      <x:c r="DJ15" s="31" t="n">
        <x:v>899</x:v>
      </x:c>
      <x:c r="DK15" s="31" t="n">
        <x:v>501</x:v>
      </x:c>
      <x:c r="DL15" s="31" t="n">
        <x:v>69</x:v>
      </x:c>
      <x:c r="DM15" s="31" t="n">
        <x:v>27</x:v>
      </x:c>
      <x:c r="DN15" s="31" t="n">
        <x:v>42</x:v>
      </x:c>
      <x:c r="DO15" s="31" t="n">
        <x:v>32</x:v>
      </x:c>
      <x:c r="DP15" s="31" t="n">
        <x:v>20</x:v>
      </x:c>
      <x:c r="DQ15" s="31" t="n">
        <x:v>12</x:v>
      </x:c>
      <x:c r="DR15" s="31" t="n">
        <x:v>43</x:v>
      </x:c>
      <x:c r="DS15" s="31" t="n">
        <x:v>43</x:v>
      </x:c>
      <x:c r="DT15" s="31" t="n">
        <x:v>0</x:v>
      </x:c>
      <x:c r="DU15" s="31" t="n">
        <x:v>10</x:v>
      </x:c>
      <x:c r="DV15" s="31" t="n">
        <x:v>10</x:v>
      </x:c>
      <x:c r="DW15" s="31" t="n">
        <x:v>0</x:v>
      </x:c>
      <x:c r="DX15" s="31" t="n">
        <x:v>21</x:v>
      </x:c>
      <x:c r="DY15" s="31" t="n">
        <x:v>3</x:v>
      </x:c>
      <x:c r="DZ15" s="31" t="n">
        <x:v>18</x:v>
      </x:c>
      <x:c r="EA15" s="31" t="n">
        <x:v>39</x:v>
      </x:c>
      <x:c r="EB15" s="31" t="n">
        <x:v>22</x:v>
      </x:c>
      <x:c r="EC15" s="31" t="n">
        <x:v>17</x:v>
      </x:c>
      <x:c r="ED15" s="31" t="n">
        <x:v>21</x:v>
      </x:c>
      <x:c r="EE15" s="31" t="n">
        <x:v>6</x:v>
      </x:c>
      <x:c r="EF15" s="31" t="n">
        <x:v>15</x:v>
      </x:c>
      <x:c r="EG15" s="31" t="n">
        <x:v>68</x:v>
      </x:c>
      <x:c r="EH15" s="31" t="n">
        <x:v>35</x:v>
      </x:c>
      <x:c r="EI15" s="31" t="n">
        <x:v>33</x:v>
      </x:c>
      <x:c r="EJ15" s="31" t="n">
        <x:v>67</x:v>
      </x:c>
      <x:c r="EK15" s="31" t="n">
        <x:v>11</x:v>
      </x:c>
      <x:c r="EL15" s="31" t="n">
        <x:v>56</x:v>
      </x:c>
      <x:c r="EM15" s="31" t="n">
        <x:v>3236</x:v>
      </x:c>
      <x:c r="EN15" s="31" t="n">
        <x:v>1728</x:v>
      </x:c>
      <x:c r="EO15" s="31" t="n">
        <x:v>1508</x:v>
      </x:c>
      <x:c r="EP15" s="31" t="n">
        <x:v>2836</x:v>
      </x:c>
      <x:c r="EQ15" s="31" t="n">
        <x:v>1485</x:v>
      </x:c>
      <x:c r="ER15" s="31" t="n">
        <x:v>1351</x:v>
      </x:c>
      <x:c r="ES15" s="31" t="n">
        <x:v>117</x:v>
      </x:c>
      <x:c r="ET15" s="31" t="n">
        <x:v>65</x:v>
      </x:c>
      <x:c r="EU15" s="31" t="n">
        <x:v>52</x:v>
      </x:c>
      <x:c r="EV15" s="31" t="n">
        <x:v>6</x:v>
      </x:c>
      <x:c r="EW15" s="31" t="n">
        <x:v>6</x:v>
      </x:c>
      <x:c r="EX15" s="31" t="n">
        <x:v>0</x:v>
      </x:c>
      <x:c r="EY15" s="31" t="n">
        <x:v>189</x:v>
      </x:c>
      <x:c r="EZ15" s="31" t="n">
        <x:v>122</x:v>
      </x:c>
      <x:c r="FA15" s="31" t="n">
        <x:v>67</x:v>
      </x:c>
      <x:c r="FB15" s="31" t="n">
        <x:v>88</x:v>
      </x:c>
      <x:c r="FC15" s="31" t="n">
        <x:v>50</x:v>
      </x:c>
      <x:c r="FD15" s="31" t="n">
        <x:v>38</x:v>
      </x:c>
      <x:c r="FE15" s="31" t="n">
        <x:v>1189</x:v>
      </x:c>
      <x:c r="FF15" s="31" t="n">
        <x:v>1185</x:v>
      </x:c>
      <x:c r="FG15" s="31" t="n">
        <x:v>947</x:v>
      </x:c>
      <x:c r="FH15" s="31" t="n">
        <x:v>181</x:v>
      </x:c>
      <x:c r="FI15" s="31" t="n">
        <x:v>57</x:v>
      </x:c>
      <x:c r="FJ15" s="31" t="n">
        <x:v>4</x:v>
      </x:c>
      <x:c r="FK15" s="31" t="n">
        <x:v>947</x:v>
      </x:c>
      <x:c r="FL15" s="31" t="n">
        <x:v>816</x:v>
      </x:c>
      <x:c r="FM15" s="31" t="n">
        <x:v>35</x:v>
      </x:c>
      <x:c r="FN15" s="31" t="n">
        <x:v>1</x:v>
      </x:c>
      <x:c r="FO15" s="31" t="n">
        <x:v>86</x:v>
      </x:c>
      <x:c r="FP15" s="31" t="n">
        <x:v>9</x:v>
      </x:c>
      <x:c r="FQ15" s="31" t="n">
        <x:v>947</x:v>
      </x:c>
      <x:c r="FR15" s="31" t="n">
        <x:v>447</x:v>
      </x:c>
      <x:c r="FS15" s="31" t="n">
        <x:v>4</x:v>
      </x:c>
      <x:c r="FT15" s="31" t="n">
        <x:v>219</x:v>
      </x:c>
      <x:c r="FU15" s="31" t="n">
        <x:v>2</x:v>
      </x:c>
      <x:c r="FV15" s="31" t="n">
        <x:v>275</x:v>
      </x:c>
      <x:c r="FW15" s="31" t="n">
        <x:v>947</x:v>
      </x:c>
      <x:c r="FX15" s="31" t="n">
        <x:v>518</x:v>
      </x:c>
      <x:c r="FY15" s="31" t="n">
        <x:v>34</x:v>
      </x:c>
      <x:c r="FZ15" s="31" t="n">
        <x:v>1</x:v>
      </x:c>
      <x:c r="GA15" s="31" t="n">
        <x:v>41</x:v>
      </x:c>
      <x:c r="GB15" s="31" t="n">
        <x:v>19</x:v>
      </x:c>
      <x:c r="GC15" s="31" t="n">
        <x:v>213</x:v>
      </x:c>
      <x:c r="GD15" s="31" t="n">
        <x:v>63</x:v>
      </x:c>
      <x:c r="GE15" s="31" t="n">
        <x:v>50</x:v>
      </x:c>
      <x:c r="GF15" s="31" t="n">
        <x:v>8</x:v>
      </x:c>
      <x:c r="GG15" s="31" t="n">
        <x:v>947</x:v>
      </x:c>
      <x:c r="GH15" s="31" t="n">
        <x:v>46</x:v>
      </x:c>
      <x:c r="GI15" s="31" t="n">
        <x:v>49</x:v>
      </x:c>
      <x:c r="GJ15" s="31" t="n">
        <x:v>283</x:v>
      </x:c>
      <x:c r="GK15" s="31" t="n">
        <x:v>3</x:v>
      </x:c>
      <x:c r="GL15" s="31" t="n">
        <x:v>5</x:v>
      </x:c>
      <x:c r="GM15" s="31" t="n">
        <x:v>1</x:v>
      </x:c>
      <x:c r="GN15" s="31" t="n">
        <x:v>560</x:v>
      </x:c>
      <x:c r="GO15" s="31" t="n">
        <x:v>947</x:v>
      </x:c>
      <x:c r="GP15" s="31" t="n">
        <x:v>191</x:v>
      </x:c>
      <x:c r="GQ15" s="31" t="n">
        <x:v>4</x:v>
      </x:c>
      <x:c r="GR15" s="31" t="n">
        <x:v>745</x:v>
      </x:c>
      <x:c r="GS15" s="31" t="n">
        <x:v>3</x:v>
      </x:c>
      <x:c r="GT15" s="31" t="n">
        <x:v>1</x:v>
      </x:c>
      <x:c r="GU15" s="31" t="n">
        <x:v>0</x:v>
      </x:c>
      <x:c r="GV15" s="31" t="n">
        <x:v>0</x:v>
      </x:c>
      <x:c r="GW15" s="31" t="n">
        <x:v>3</x:v>
      </x:c>
      <x:c r="GX15" s="31" t="n">
        <x:v>947</x:v>
      </x:c>
      <x:c r="GY15" s="31" t="n">
        <x:v>14</x:v>
      </x:c>
      <x:c r="GZ15" s="31" t="n">
        <x:v>1</x:v>
      </x:c>
      <x:c r="HA15" s="31" t="n">
        <x:v>169</x:v>
      </x:c>
      <x:c r="HB15" s="31" t="n">
        <x:v>20</x:v>
      </x:c>
      <x:c r="HC15" s="31" t="n">
        <x:v>660</x:v>
      </x:c>
      <x:c r="HD15" s="31" t="n">
        <x:v>66</x:v>
      </x:c>
      <x:c r="HE15" s="31" t="n">
        <x:v>17</x:v>
      </x:c>
      <x:c r="HF15" s="31" t="n">
        <x:v>947</x:v>
      </x:c>
      <x:c r="HG15" s="31" t="n">
        <x:v>495</x:v>
      </x:c>
      <x:c r="HH15" s="31" t="n">
        <x:v>300</x:v>
      </x:c>
      <x:c r="HI15" s="31" t="n">
        <x:v>700</x:v>
      </x:c>
      <x:c r="HJ15" s="31" t="n">
        <x:v>391</x:v>
      </x:c>
      <x:c r="HK15" s="31" t="str">
        <x:v>Ficha_INE_Inao.pdf</x:v>
      </x:c>
      <x:c r="HL15" s="31" t="str">
        <x:v>Instituto Nacional de Estadística, Censo de Población y Vivienda 2024</x:v>
      </x:c>
    </x:row>
    <x:row r="16" ht="20" customHeight="1">
      <x:c r="A16" s="31" t="str">
        <x:v>AP-1405</x:v>
      </x:c>
      <x:c r="B16" s="31" t="str">
        <x:v>Pilón Lajas</x:v>
      </x:c>
      <x:c r="C16" s="31" t="n">
        <x:v>15</x:v>
      </x:c>
      <x:c r="D16" s="31" t="str">
        <x:v>Sí</x:v>
      </x:c>
      <x:c r="E16" s="31" t="str">
        <x:v>LA PAZ, BENI</x:v>
      </x:c>
      <x:c r="F16" s="31" t="str">
        <x:v>FRANZ TAMAYO, SUR YUNGAS, GENERAL JOSÉ BALLIVIÁN</x:v>
      </x:c>
      <x:c r="G16" s="31" t="str">
        <x:v>APOLO, PALOS BLANCOS, SAN BORJA, MÁS 1</x:v>
      </x:c>
      <x:c r="H16" s="31" t="n">
        <x:v>3169</x:v>
      </x:c>
      <x:c r="I16" s="31" t="n">
        <x:v>1675</x:v>
      </x:c>
      <x:c r="J16" s="31" t="n">
        <x:v>1494</x:v>
      </x:c>
      <x:c r="K16" s="31" t="n">
        <x:v>1614</x:v>
      </x:c>
      <x:c r="L16" s="31" t="n">
        <x:v>818</x:v>
      </x:c>
      <x:c r="M16" s="31" t="n">
        <x:v>796</x:v>
      </x:c>
      <x:c r="N16" s="31" t="n">
        <x:v>883</x:v>
      </x:c>
      <x:c r="O16" s="31" t="n">
        <x:v>460</x:v>
      </x:c>
      <x:c r="P16" s="31" t="n">
        <x:v>423</x:v>
      </x:c>
      <x:c r="Q16" s="31" t="n">
        <x:v>468</x:v>
      </x:c>
      <x:c r="R16" s="31" t="n">
        <x:v>278</x:v>
      </x:c>
      <x:c r="S16" s="31" t="n">
        <x:v>190</x:v>
      </x:c>
      <x:c r="T16" s="31" t="n">
        <x:v>204</x:v>
      </x:c>
      <x:c r="U16" s="31" t="n">
        <x:v>119</x:v>
      </x:c>
      <x:c r="V16" s="31" t="n">
        <x:v>85</x:v>
      </x:c>
      <x:c r="W16" s="31" t="n">
        <x:v>3169</x:v>
      </x:c>
      <x:c r="X16" s="31" t="n">
        <x:v>1675</x:v>
      </x:c>
      <x:c r="Y16" s="31" t="n">
        <x:v>1494</x:v>
      </x:c>
      <x:c r="Z16" s="31" t="n">
        <x:v>1893</x:v>
      </x:c>
      <x:c r="AA16" s="31" t="n">
        <x:v>960</x:v>
      </x:c>
      <x:c r="AB16" s="31" t="n">
        <x:v>933</x:v>
      </x:c>
      <x:c r="AC16" s="31" t="n">
        <x:v>1222</x:v>
      </x:c>
      <x:c r="AD16" s="31" t="n">
        <x:v>689</x:v>
      </x:c>
      <x:c r="AE16" s="31" t="n">
        <x:v>533</x:v>
      </x:c>
      <x:c r="AF16" s="31" t="n">
        <x:v>14</x:v>
      </x:c>
      <x:c r="AG16" s="31" t="n">
        <x:v>10</x:v>
      </x:c>
      <x:c r="AH16" s="31" t="n">
        <x:v>4</x:v>
      </x:c>
      <x:c r="AI16" s="31" t="n">
        <x:v>40</x:v>
      </x:c>
      <x:c r="AJ16" s="31" t="n">
        <x:v>16</x:v>
      </x:c>
      <x:c r="AK16" s="31" t="n">
        <x:v>24</x:v>
      </x:c>
      <x:c r="AL16" s="31" t="n">
        <x:v>3169</x:v>
      </x:c>
      <x:c r="AM16" s="31" t="n">
        <x:v>1675</x:v>
      </x:c>
      <x:c r="AN16" s="31" t="n">
        <x:v>1494</x:v>
      </x:c>
      <x:c r="AO16" s="31" t="n">
        <x:v>3058</x:v>
      </x:c>
      <x:c r="AP16" s="31" t="n">
        <x:v>1614</x:v>
      </x:c>
      <x:c r="AQ16" s="31" t="n">
        <x:v>1444</x:v>
      </x:c>
      <x:c r="AR16" s="31" t="n">
        <x:v>85</x:v>
      </x:c>
      <x:c r="AS16" s="31" t="n">
        <x:v>46</x:v>
      </x:c>
      <x:c r="AT16" s="31" t="n">
        <x:v>39</x:v>
      </x:c>
      <x:c r="AU16" s="31" t="n">
        <x:v>2</x:v>
      </x:c>
      <x:c r="AV16" s="31" t="n">
        <x:v>2</x:v>
      </x:c>
      <x:c r="AW16" s="31" t="n">
        <x:v>0</x:v>
      </x:c>
      <x:c r="AX16" s="31" t="n">
        <x:v>24</x:v>
      </x:c>
      <x:c r="AY16" s="31" t="n">
        <x:v>13</x:v>
      </x:c>
      <x:c r="AZ16" s="31" t="n">
        <x:v>11</x:v>
      </x:c>
      <x:c r="BA16" s="31" t="n">
        <x:v>1594</x:v>
      </x:c>
      <x:c r="BB16" s="31" t="n">
        <x:v>868</x:v>
      </x:c>
      <x:c r="BC16" s="31" t="n">
        <x:v>726</x:v>
      </x:c>
      <x:c r="BD16" s="31" t="n">
        <x:v>234</x:v>
      </x:c>
      <x:c r="BE16" s="31" t="n">
        <x:v>96</x:v>
      </x:c>
      <x:c r="BF16" s="31" t="n">
        <x:v>138</x:v>
      </x:c>
      <x:c r="BG16" s="31" t="n">
        <x:v>537</x:v>
      </x:c>
      <x:c r="BH16" s="31" t="n">
        <x:v>290</x:v>
      </x:c>
      <x:c r="BI16" s="31" t="n">
        <x:v>247</x:v>
      </x:c>
      <x:c r="BJ16" s="31" t="n">
        <x:v>675</x:v>
      </x:c>
      <x:c r="BK16" s="31" t="n">
        <x:v>402</x:v>
      </x:c>
      <x:c r="BL16" s="31" t="n">
        <x:v>273</x:v>
      </x:c>
      <x:c r="BM16" s="31" t="n">
        <x:v>143</x:v>
      </x:c>
      <x:c r="BN16" s="31" t="n">
        <x:v>77</x:v>
      </x:c>
      <x:c r="BO16" s="31" t="n">
        <x:v>66</x:v>
      </x:c>
      <x:c r="BP16" s="31" t="n">
        <x:v>5</x:v>
      </x:c>
      <x:c r="BQ16" s="31" t="n">
        <x:v>3</x:v>
      </x:c>
      <x:c r="BR16" s="31" t="n">
        <x:v>2</x:v>
      </x:c>
      <x:c r="BS16" s="31" t="n">
        <x:v>1626</x:v>
      </x:c>
      <x:c r="BT16" s="31" t="n">
        <x:v>927</x:v>
      </x:c>
      <x:c r="BU16" s="31" t="n">
        <x:v>699</x:v>
      </x:c>
      <x:c r="BV16" s="31" t="n">
        <x:v>182</x:v>
      </x:c>
      <x:c r="BW16" s="31" t="n">
        <x:v>114</x:v>
      </x:c>
      <x:c r="BX16" s="31" t="n">
        <x:v>68</x:v>
      </x:c>
      <x:c r="BY16" s="31" t="n">
        <x:v>1046</x:v>
      </x:c>
      <x:c r="BZ16" s="31" t="n">
        <x:v>634</x:v>
      </x:c>
      <x:c r="CA16" s="31" t="n">
        <x:v>412</x:v>
      </x:c>
      <x:c r="CB16" s="31" t="n">
        <x:v>188</x:v>
      </x:c>
      <x:c r="CC16" s="31" t="n">
        <x:v>77</x:v>
      </x:c>
      <x:c r="CD16" s="31" t="n">
        <x:v>111</x:v>
      </x:c>
      <x:c r="CE16" s="31" t="n">
        <x:v>210</x:v>
      </x:c>
      <x:c r="CF16" s="31" t="n">
        <x:v>102</x:v>
      </x:c>
      <x:c r="CG16" s="31" t="n">
        <x:v>108</x:v>
      </x:c>
      <x:c r="CH16" s="31" t="n">
        <x:v>3169</x:v>
      </x:c>
      <x:c r="CI16" s="31" t="n">
        <x:v>1675</x:v>
      </x:c>
      <x:c r="CJ16" s="31" t="n">
        <x:v>1494</x:v>
      </x:c>
      <x:c r="CK16" s="31" t="n">
        <x:v>2809</x:v>
      </x:c>
      <x:c r="CL16" s="31" t="n">
        <x:v>1470</x:v>
      </x:c>
      <x:c r="CM16" s="31" t="n">
        <x:v>1339</x:v>
      </x:c>
      <x:c r="CN16" s="31" t="n">
        <x:v>93</x:v>
      </x:c>
      <x:c r="CO16" s="31" t="n">
        <x:v>46</x:v>
      </x:c>
      <x:c r="CP16" s="31" t="n">
        <x:v>47</x:v>
      </x:c>
      <x:c r="CQ16" s="31" t="n">
        <x:v>174</x:v>
      </x:c>
      <x:c r="CR16" s="31" t="n">
        <x:v>82</x:v>
      </x:c>
      <x:c r="CS16" s="31" t="n">
        <x:v>92</x:v>
      </x:c>
      <x:c r="CT16" s="31" t="n">
        <x:v>198</x:v>
      </x:c>
      <x:c r="CU16" s="31" t="n">
        <x:v>78</x:v>
      </x:c>
      <x:c r="CV16" s="31" t="n">
        <x:v>120</x:v>
      </x:c>
      <x:c r="CW16" s="31" t="n">
        <x:v>1005</x:v>
      </x:c>
      <x:c r="CX16" s="31" t="n">
        <x:v>522</x:v>
      </x:c>
      <x:c r="CY16" s="31" t="n">
        <x:v>483</x:v>
      </x:c>
      <x:c r="CZ16" s="31" t="n">
        <x:v>1136</x:v>
      </x:c>
      <x:c r="DA16" s="31" t="n">
        <x:v>574</x:v>
      </x:c>
      <x:c r="DB16" s="31" t="n">
        <x:v>562</x:v>
      </x:c>
      <x:c r="DC16" s="31" t="n">
        <x:v>2006</x:v>
      </x:c>
      <x:c r="DD16" s="31" t="n">
        <x:v>1041</x:v>
      </x:c>
      <x:c r="DE16" s="31" t="n">
        <x:v>965</x:v>
      </x:c>
      <x:c r="DF16" s="31" t="n">
        <x:v>1626</x:v>
      </x:c>
      <x:c r="DG16" s="31" t="n">
        <x:v>927</x:v>
      </x:c>
      <x:c r="DH16" s="31" t="n">
        <x:v>699</x:v>
      </x:c>
      <x:c r="DI16" s="31" t="n">
        <x:v>1354</x:v>
      </x:c>
      <x:c r="DJ16" s="31" t="n">
        <x:v>782</x:v>
      </x:c>
      <x:c r="DK16" s="31" t="n">
        <x:v>572</x:v>
      </x:c>
      <x:c r="DL16" s="31" t="n">
        <x:v>60</x:v>
      </x:c>
      <x:c r="DM16" s="31" t="n">
        <x:v>17</x:v>
      </x:c>
      <x:c r="DN16" s="31" t="n">
        <x:v>43</x:v>
      </x:c>
      <x:c r="DO16" s="31" t="n">
        <x:v>19</x:v>
      </x:c>
      <x:c r="DP16" s="31" t="n">
        <x:v>8</x:v>
      </x:c>
      <x:c r="DQ16" s="31" t="n">
        <x:v>11</x:v>
      </x:c>
      <x:c r="DR16" s="31" t="n">
        <x:v>40</x:v>
      </x:c>
      <x:c r="DS16" s="31" t="n">
        <x:v>38</x:v>
      </x:c>
      <x:c r="DT16" s="31" t="n">
        <x:v>2</x:v>
      </x:c>
      <x:c r="DU16" s="31" t="n">
        <x:v>15</x:v>
      </x:c>
      <x:c r="DV16" s="31" t="n">
        <x:v>15</x:v>
      </x:c>
      <x:c r="DW16" s="31" t="n">
        <x:v>0</x:v>
      </x:c>
      <x:c r="DX16" s="31" t="n">
        <x:v>23</x:v>
      </x:c>
      <x:c r="DY16" s="31" t="n">
        <x:v>5</x:v>
      </x:c>
      <x:c r="DZ16" s="31" t="n">
        <x:v>18</x:v>
      </x:c>
      <x:c r="EA16" s="31" t="n">
        <x:v>21</x:v>
      </x:c>
      <x:c r="EB16" s="31" t="n">
        <x:v>14</x:v>
      </x:c>
      <x:c r="EC16" s="31" t="n">
        <x:v>7</x:v>
      </x:c>
      <x:c r="ED16" s="31" t="n">
        <x:v>14</x:v>
      </x:c>
      <x:c r="EE16" s="31" t="n">
        <x:v>3</x:v>
      </x:c>
      <x:c r="EF16" s="31" t="n">
        <x:v>11</x:v>
      </x:c>
      <x:c r="EG16" s="31" t="n">
        <x:v>56</x:v>
      </x:c>
      <x:c r="EH16" s="31" t="n">
        <x:v>33</x:v>
      </x:c>
      <x:c r="EI16" s="31" t="n">
        <x:v>23</x:v>
      </x:c>
      <x:c r="EJ16" s="31" t="n">
        <x:v>24</x:v>
      </x:c>
      <x:c r="EK16" s="31" t="n">
        <x:v>12</x:v>
      </x:c>
      <x:c r="EL16" s="31" t="n">
        <x:v>12</x:v>
      </x:c>
      <x:c r="EM16" s="31" t="n">
        <x:v>3143</x:v>
      </x:c>
      <x:c r="EN16" s="31" t="n">
        <x:v>1660</x:v>
      </x:c>
      <x:c r="EO16" s="31" t="n">
        <x:v>1483</x:v>
      </x:c>
      <x:c r="EP16" s="31" t="n">
        <x:v>2648</x:v>
      </x:c>
      <x:c r="EQ16" s="31" t="n">
        <x:v>1382</x:v>
      </x:c>
      <x:c r="ER16" s="31" t="n">
        <x:v>1266</x:v>
      </x:c>
      <x:c r="ES16" s="31" t="n">
        <x:v>71</x:v>
      </x:c>
      <x:c r="ET16" s="31" t="n">
        <x:v>38</x:v>
      </x:c>
      <x:c r="EU16" s="31" t="n">
        <x:v>33</x:v>
      </x:c>
      <x:c r="EV16" s="31" t="n">
        <x:v>14</x:v>
      </x:c>
      <x:c r="EW16" s="31" t="n">
        <x:v>8</x:v>
      </x:c>
      <x:c r="EX16" s="31" t="n">
        <x:v>6</x:v>
      </x:c>
      <x:c r="EY16" s="31" t="n">
        <x:v>332</x:v>
      </x:c>
      <x:c r="EZ16" s="31" t="n">
        <x:v>197</x:v>
      </x:c>
      <x:c r="FA16" s="31" t="n">
        <x:v>135</x:v>
      </x:c>
      <x:c r="FB16" s="31" t="n">
        <x:v>78</x:v>
      </x:c>
      <x:c r="FC16" s="31" t="n">
        <x:v>35</x:v>
      </x:c>
      <x:c r="FD16" s="31" t="n">
        <x:v>43</x:v>
      </x:c>
      <x:c r="FE16" s="31" t="n">
        <x:v>1246</x:v>
      </x:c>
      <x:c r="FF16" s="31" t="n">
        <x:v>1242</x:v>
      </x:c>
      <x:c r="FG16" s="31" t="n">
        <x:v>1069</x:v>
      </x:c>
      <x:c r="FH16" s="31" t="n">
        <x:v>137</x:v>
      </x:c>
      <x:c r="FI16" s="31" t="n">
        <x:v>36</x:v>
      </x:c>
      <x:c r="FJ16" s="31" t="n">
        <x:v>4</x:v>
      </x:c>
      <x:c r="FK16" s="31" t="n">
        <x:v>1069</x:v>
      </x:c>
      <x:c r="FL16" s="31" t="n">
        <x:v>982</x:v>
      </x:c>
      <x:c r="FM16" s="31" t="n">
        <x:v>6</x:v>
      </x:c>
      <x:c r="FN16" s="31" t="n">
        <x:v>1</x:v>
      </x:c>
      <x:c r="FO16" s="31" t="n">
        <x:v>51</x:v>
      </x:c>
      <x:c r="FP16" s="31" t="n">
        <x:v>29</x:v>
      </x:c>
      <x:c r="FQ16" s="31" t="n">
        <x:v>1069</x:v>
      </x:c>
      <x:c r="FR16" s="31" t="n">
        <x:v>385</x:v>
      </x:c>
      <x:c r="FS16" s="31" t="n">
        <x:v>12</x:v>
      </x:c>
      <x:c r="FT16" s="31" t="n">
        <x:v>15</x:v>
      </x:c>
      <x:c r="FU16" s="31" t="n">
        <x:v>6</x:v>
      </x:c>
      <x:c r="FV16" s="31" t="n">
        <x:v>651</x:v>
      </x:c>
      <x:c r="FW16" s="31" t="n">
        <x:v>1069</x:v>
      </x:c>
      <x:c r="FX16" s="31" t="n">
        <x:v>315</x:v>
      </x:c>
      <x:c r="FY16" s="31" t="n">
        <x:v>18</x:v>
      </x:c>
      <x:c r="FZ16" s="31" t="n">
        <x:v>0</x:v>
      </x:c>
      <x:c r="GA16" s="31" t="n">
        <x:v>2</x:v>
      </x:c>
      <x:c r="GB16" s="31" t="n">
        <x:v>10</x:v>
      </x:c>
      <x:c r="GC16" s="31" t="n">
        <x:v>464</x:v>
      </x:c>
      <x:c r="GD16" s="31" t="n">
        <x:v>198</x:v>
      </x:c>
      <x:c r="GE16" s="31" t="n">
        <x:v>42</x:v>
      </x:c>
      <x:c r="GF16" s="31" t="n">
        <x:v>20</x:v>
      </x:c>
      <x:c r="GG16" s="31" t="n">
        <x:v>1069</x:v>
      </x:c>
      <x:c r="GH16" s="31" t="n">
        <x:v>35</x:v>
      </x:c>
      <x:c r="GI16" s="31" t="n">
        <x:v>51</x:v>
      </x:c>
      <x:c r="GJ16" s="31" t="n">
        <x:v>452</x:v>
      </x:c>
      <x:c r="GK16" s="31" t="n">
        <x:v>3</x:v>
      </x:c>
      <x:c r="GL16" s="31" t="n">
        <x:v>7</x:v>
      </x:c>
      <x:c r="GM16" s="31" t="n">
        <x:v>19</x:v>
      </x:c>
      <x:c r="GN16" s="31" t="n">
        <x:v>502</x:v>
      </x:c>
      <x:c r="GO16" s="31" t="n">
        <x:v>1069</x:v>
      </x:c>
      <x:c r="GP16" s="31" t="n">
        <x:v>231</x:v>
      </x:c>
      <x:c r="GQ16" s="31" t="n">
        <x:v>3</x:v>
      </x:c>
      <x:c r="GR16" s="31" t="n">
        <x:v>826</x:v>
      </x:c>
      <x:c r="GS16" s="31" t="n">
        <x:v>2</x:v>
      </x:c>
      <x:c r="GT16" s="31" t="n">
        <x:v>1</x:v>
      </x:c>
      <x:c r="GU16" s="31" t="n">
        <x:v>1</x:v>
      </x:c>
      <x:c r="GV16" s="31" t="n">
        <x:v>0</x:v>
      </x:c>
      <x:c r="GW16" s="31" t="n">
        <x:v>5</x:v>
      </x:c>
      <x:c r="GX16" s="31" t="n">
        <x:v>1069</x:v>
      </x:c>
      <x:c r="GY16" s="31" t="n">
        <x:v>8</x:v>
      </x:c>
      <x:c r="GZ16" s="31" t="n">
        <x:v>6</x:v>
      </x:c>
      <x:c r="HA16" s="31" t="n">
        <x:v>9</x:v>
      </x:c>
      <x:c r="HB16" s="31" t="n">
        <x:v>7</x:v>
      </x:c>
      <x:c r="HC16" s="31" t="n">
        <x:v>829</x:v>
      </x:c>
      <x:c r="HD16" s="31" t="n">
        <x:v>186</x:v>
      </x:c>
      <x:c r="HE16" s="31" t="n">
        <x:v>24</x:v>
      </x:c>
      <x:c r="HF16" s="31" t="n">
        <x:v>1069</x:v>
      </x:c>
      <x:c r="HG16" s="31" t="n">
        <x:v>297</x:v>
      </x:c>
      <x:c r="HH16" s="31" t="n">
        <x:v>186</x:v>
      </x:c>
      <x:c r="HI16" s="31" t="n">
        <x:v>688</x:v>
      </x:c>
      <x:c r="HJ16" s="31" t="n">
        <x:v>388</x:v>
      </x:c>
      <x:c r="HK16" s="31" t="str">
        <x:v>Ficha_INE_Pilon_Lajas.pdf</x:v>
      </x:c>
      <x:c r="HL16" s="31" t="str">
        <x:v>Instituto Nacional de Estadística, Censo de Población y Vivienda 2024</x:v>
      </x:c>
    </x:row>
    <x:row r="17" ht="20" customHeight="1">
      <x:c r="A17" s="31" t="str">
        <x:v>AP-1204</x:v>
      </x:c>
      <x:c r="B17" s="31" t="str">
        <x:v>Cordillera de Sama</x:v>
      </x:c>
      <x:c r="C17" s="31" t="n">
        <x:v>14</x:v>
      </x:c>
      <x:c r="D17" s="31" t="str">
        <x:v>Sí</x:v>
      </x:c>
      <x:c r="E17" s="31" t="str">
        <x:v>TARIJA</x:v>
      </x:c>
      <x:c r="F17" s="31" t="str">
        <x:v>CERCADO, AVILEZ, MÉNDEZ</x:v>
      </x:c>
      <x:c r="G17" s="31" t="str">
        <x:v>TARIJA, YUNCHARÁ, SAN LORENZO, MÁS 1</x:v>
      </x:c>
      <x:c r="H17" s="31" t="n">
        <x:v>3132</x:v>
      </x:c>
      <x:c r="I17" s="31" t="n">
        <x:v>1532</x:v>
      </x:c>
      <x:c r="J17" s="31" t="n">
        <x:v>1600</x:v>
      </x:c>
      <x:c r="K17" s="31" t="n">
        <x:v>1090</x:v>
      </x:c>
      <x:c r="L17" s="31" t="n">
        <x:v>553</x:v>
      </x:c>
      <x:c r="M17" s="31" t="n">
        <x:v>537</x:v>
      </x:c>
      <x:c r="N17" s="31" t="n">
        <x:v>837</x:v>
      </x:c>
      <x:c r="O17" s="31" t="n">
        <x:v>413</x:v>
      </x:c>
      <x:c r="P17" s="31" t="n">
        <x:v>424</x:v>
      </x:c>
      <x:c r="Q17" s="31" t="n">
        <x:v>685</x:v>
      </x:c>
      <x:c r="R17" s="31" t="n">
        <x:v>319</x:v>
      </x:c>
      <x:c r="S17" s="31" t="n">
        <x:v>366</x:v>
      </x:c>
      <x:c r="T17" s="31" t="n">
        <x:v>520</x:v>
      </x:c>
      <x:c r="U17" s="31" t="n">
        <x:v>247</x:v>
      </x:c>
      <x:c r="V17" s="31" t="n">
        <x:v>273</x:v>
      </x:c>
      <x:c r="W17" s="31" t="n">
        <x:v>3132</x:v>
      </x:c>
      <x:c r="X17" s="31" t="n">
        <x:v>1532</x:v>
      </x:c>
      <x:c r="Y17" s="31" t="n">
        <x:v>1600</x:v>
      </x:c>
      <x:c r="Z17" s="31" t="n">
        <x:v>2744</x:v>
      </x:c>
      <x:c r="AA17" s="31" t="n">
        <x:v>1328</x:v>
      </x:c>
      <x:c r="AB17" s="31" t="n">
        <x:v>1416</x:v>
      </x:c>
      <x:c r="AC17" s="31" t="n">
        <x:v>332</x:v>
      </x:c>
      <x:c r="AD17" s="31" t="n">
        <x:v>177</x:v>
      </x:c>
      <x:c r="AE17" s="31" t="n">
        <x:v>155</x:v>
      </x:c>
      <x:c r="AF17" s="31" t="n">
        <x:v>45</x:v>
      </x:c>
      <x:c r="AG17" s="31" t="n">
        <x:v>23</x:v>
      </x:c>
      <x:c r="AH17" s="31" t="n">
        <x:v>22</x:v>
      </x:c>
      <x:c r="AI17" s="31" t="n">
        <x:v>11</x:v>
      </x:c>
      <x:c r="AJ17" s="31" t="n">
        <x:v>4</x:v>
      </x:c>
      <x:c r="AK17" s="31" t="n">
        <x:v>7</x:v>
      </x:c>
      <x:c r="AL17" s="31" t="n">
        <x:v>3132</x:v>
      </x:c>
      <x:c r="AM17" s="31" t="n">
        <x:v>1532</x:v>
      </x:c>
      <x:c r="AN17" s="31" t="n">
        <x:v>1600</x:v>
      </x:c>
      <x:c r="AO17" s="31" t="n">
        <x:v>3056</x:v>
      </x:c>
      <x:c r="AP17" s="31" t="n">
        <x:v>1499</x:v>
      </x:c>
      <x:c r="AQ17" s="31" t="n">
        <x:v>1557</x:v>
      </x:c>
      <x:c r="AR17" s="31" t="n">
        <x:v>64</x:v>
      </x:c>
      <x:c r="AS17" s="31" t="n">
        <x:v>27</x:v>
      </x:c>
      <x:c r="AT17" s="31" t="n">
        <x:v>37</x:v>
      </x:c>
      <x:c r="AU17" s="31" t="n">
        <x:v>6</x:v>
      </x:c>
      <x:c r="AV17" s="31" t="n">
        <x:v>3</x:v>
      </x:c>
      <x:c r="AW17" s="31" t="n">
        <x:v>3</x:v>
      </x:c>
      <x:c r="AX17" s="31" t="n">
        <x:v>6</x:v>
      </x:c>
      <x:c r="AY17" s="31" t="n">
        <x:v>3</x:v>
      </x:c>
      <x:c r="AZ17" s="31" t="n">
        <x:v>3</x:v>
      </x:c>
      <x:c r="BA17" s="31" t="n">
        <x:v>2065</x:v>
      </x:c>
      <x:c r="BB17" s="31" t="n">
        <x:v>991</x:v>
      </x:c>
      <x:c r="BC17" s="31" t="n">
        <x:v>1074</x:v>
      </x:c>
      <x:c r="BD17" s="31" t="n">
        <x:v>380</x:v>
      </x:c>
      <x:c r="BE17" s="31" t="n">
        <x:v>90</x:v>
      </x:c>
      <x:c r="BF17" s="31" t="n">
        <x:v>290</x:v>
      </x:c>
      <x:c r="BG17" s="31" t="n">
        <x:v>1068</x:v>
      </x:c>
      <x:c r="BH17" s="31" t="n">
        <x:v>582</x:v>
      </x:c>
      <x:c r="BI17" s="31" t="n">
        <x:v>486</x:v>
      </x:c>
      <x:c r="BJ17" s="31" t="n">
        <x:v>420</x:v>
      </x:c>
      <x:c r="BK17" s="31" t="n">
        <x:v>230</x:v>
      </x:c>
      <x:c r="BL17" s="31" t="n">
        <x:v>190</x:v>
      </x:c>
      <x:c r="BM17" s="31" t="n">
        <x:v>180</x:v>
      </x:c>
      <x:c r="BN17" s="31" t="n">
        <x:v>84</x:v>
      </x:c>
      <x:c r="BO17" s="31" t="n">
        <x:v>96</x:v>
      </x:c>
      <x:c r="BP17" s="31" t="n">
        <x:v>17</x:v>
      </x:c>
      <x:c r="BQ17" s="31" t="n">
        <x:v>5</x:v>
      </x:c>
      <x:c r="BR17" s="31" t="n">
        <x:v>12</x:v>
      </x:c>
      <x:c r="BS17" s="31" t="n">
        <x:v>1964</x:v>
      </x:c>
      <x:c r="BT17" s="31" t="n">
        <x:v>1001</x:v>
      </x:c>
      <x:c r="BU17" s="31" t="n">
        <x:v>963</x:v>
      </x:c>
      <x:c r="BV17" s="31" t="n">
        <x:v>181</x:v>
      </x:c>
      <x:c r="BW17" s="31" t="n">
        <x:v>118</x:v>
      </x:c>
      <x:c r="BX17" s="31" t="n">
        <x:v>63</x:v>
      </x:c>
      <x:c r="BY17" s="31" t="n">
        <x:v>1051</x:v>
      </x:c>
      <x:c r="BZ17" s="31" t="n">
        <x:v>608</x:v>
      </x:c>
      <x:c r="CA17" s="31" t="n">
        <x:v>443</x:v>
      </x:c>
      <x:c r="CB17" s="31" t="n">
        <x:v>469</x:v>
      </x:c>
      <x:c r="CC17" s="31" t="n">
        <x:v>127</x:v>
      </x:c>
      <x:c r="CD17" s="31" t="n">
        <x:v>342</x:v>
      </x:c>
      <x:c r="CE17" s="31" t="n">
        <x:v>263</x:v>
      </x:c>
      <x:c r="CF17" s="31" t="n">
        <x:v>148</x:v>
      </x:c>
      <x:c r="CG17" s="31" t="n">
        <x:v>115</x:v>
      </x:c>
      <x:c r="CH17" s="31" t="n">
        <x:v>3132</x:v>
      </x:c>
      <x:c r="CI17" s="31" t="n">
        <x:v>1532</x:v>
      </x:c>
      <x:c r="CJ17" s="31" t="n">
        <x:v>1600</x:v>
      </x:c>
      <x:c r="CK17" s="31" t="n">
        <x:v>2866</x:v>
      </x:c>
      <x:c r="CL17" s="31" t="n">
        <x:v>1378</x:v>
      </x:c>
      <x:c r="CM17" s="31" t="n">
        <x:v>1488</x:v>
      </x:c>
      <x:c r="CN17" s="31" t="n">
        <x:v>292</x:v>
      </x:c>
      <x:c r="CO17" s="31" t="n">
        <x:v>144</x:v>
      </x:c>
      <x:c r="CP17" s="31" t="n">
        <x:v>148</x:v>
      </x:c>
      <x:c r="CQ17" s="31" t="n">
        <x:v>687</x:v>
      </x:c>
      <x:c r="CR17" s="31" t="n">
        <x:v>311</x:v>
      </x:c>
      <x:c r="CS17" s="31" t="n">
        <x:v>376</x:v>
      </x:c>
      <x:c r="CT17" s="31" t="n">
        <x:v>750</x:v>
      </x:c>
      <x:c r="CU17" s="31" t="n">
        <x:v>345</x:v>
      </x:c>
      <x:c r="CV17" s="31" t="n">
        <x:v>405</x:v>
      </x:c>
      <x:c r="CW17" s="31" t="n">
        <x:v>1483</x:v>
      </x:c>
      <x:c r="CX17" s="31" t="n">
        <x:v>704</x:v>
      </x:c>
      <x:c r="CY17" s="31" t="n">
        <x:v>779</x:v>
      </x:c>
      <x:c r="CZ17" s="31" t="n">
        <x:v>1454</x:v>
      </x:c>
      <x:c r="DA17" s="31" t="n">
        <x:v>716</x:v>
      </x:c>
      <x:c r="DB17" s="31" t="n">
        <x:v>738</x:v>
      </x:c>
      <x:c r="DC17" s="31" t="n">
        <x:v>2600</x:v>
      </x:c>
      <x:c r="DD17" s="31" t="n">
        <x:v>1268</x:v>
      </x:c>
      <x:c r="DE17" s="31" t="n">
        <x:v>1332</x:v>
      </x:c>
      <x:c r="DF17" s="31" t="n">
        <x:v>1964</x:v>
      </x:c>
      <x:c r="DG17" s="31" t="n">
        <x:v>1001</x:v>
      </x:c>
      <x:c r="DH17" s="31" t="n">
        <x:v>963</x:v>
      </x:c>
      <x:c r="DI17" s="31" t="n">
        <x:v>1697</x:v>
      </x:c>
      <x:c r="DJ17" s="31" t="n">
        <x:v>865</x:v>
      </x:c>
      <x:c r="DK17" s="31" t="n">
        <x:v>832</x:v>
      </x:c>
      <x:c r="DL17" s="31" t="n">
        <x:v>33</x:v>
      </x:c>
      <x:c r="DM17" s="31" t="n">
        <x:v>16</x:v>
      </x:c>
      <x:c r="DN17" s="31" t="n">
        <x:v>17</x:v>
      </x:c>
      <x:c r="DO17" s="31" t="n">
        <x:v>10</x:v>
      </x:c>
      <x:c r="DP17" s="31" t="n">
        <x:v>3</x:v>
      </x:c>
      <x:c r="DQ17" s="31" t="n">
        <x:v>7</x:v>
      </x:c>
      <x:c r="DR17" s="31" t="n">
        <x:v>38</x:v>
      </x:c>
      <x:c r="DS17" s="31" t="n">
        <x:v>38</x:v>
      </x:c>
      <x:c r="DT17" s="31" t="n">
        <x:v>0</x:v>
      </x:c>
      <x:c r="DU17" s="31" t="n">
        <x:v>27</x:v>
      </x:c>
      <x:c r="DV17" s="31" t="n">
        <x:v>26</x:v>
      </x:c>
      <x:c r="DW17" s="31" t="n">
        <x:v>1</x:v>
      </x:c>
      <x:c r="DX17" s="31" t="n">
        <x:v>10</x:v>
      </x:c>
      <x:c r="DY17" s="31" t="n">
        <x:v>0</x:v>
      </x:c>
      <x:c r="DZ17" s="31" t="n">
        <x:v>10</x:v>
      </x:c>
      <x:c r="EA17" s="31" t="n">
        <x:v>27</x:v>
      </x:c>
      <x:c r="EB17" s="31" t="n">
        <x:v>15</x:v>
      </x:c>
      <x:c r="EC17" s="31" t="n">
        <x:v>12</x:v>
      </x:c>
      <x:c r="ED17" s="31" t="n">
        <x:v>19</x:v>
      </x:c>
      <x:c r="EE17" s="31" t="n">
        <x:v>8</x:v>
      </x:c>
      <x:c r="EF17" s="31" t="n">
        <x:v>11</x:v>
      </x:c>
      <x:c r="EG17" s="31" t="n">
        <x:v>54</x:v>
      </x:c>
      <x:c r="EH17" s="31" t="n">
        <x:v>19</x:v>
      </x:c>
      <x:c r="EI17" s="31" t="n">
        <x:v>35</x:v>
      </x:c>
      <x:c r="EJ17" s="31" t="n">
        <x:v>49</x:v>
      </x:c>
      <x:c r="EK17" s="31" t="n">
        <x:v>11</x:v>
      </x:c>
      <x:c r="EL17" s="31" t="n">
        <x:v>38</x:v>
      </x:c>
      <x:c r="EM17" s="31" t="n">
        <x:v>3120</x:v>
      </x:c>
      <x:c r="EN17" s="31" t="n">
        <x:v>1526</x:v>
      </x:c>
      <x:c r="EO17" s="31" t="n">
        <x:v>1594</x:v>
      </x:c>
      <x:c r="EP17" s="31" t="n">
        <x:v>2648</x:v>
      </x:c>
      <x:c r="EQ17" s="31" t="n">
        <x:v>1278</x:v>
      </x:c>
      <x:c r="ER17" s="31" t="n">
        <x:v>1370</x:v>
      </x:c>
      <x:c r="ES17" s="31" t="n">
        <x:v>113</x:v>
      </x:c>
      <x:c r="ET17" s="31" t="n">
        <x:v>55</x:v>
      </x:c>
      <x:c r="EU17" s="31" t="n">
        <x:v>58</x:v>
      </x:c>
      <x:c r="EV17" s="31" t="n">
        <x:v>11</x:v>
      </x:c>
      <x:c r="EW17" s="31" t="n">
        <x:v>6</x:v>
      </x:c>
      <x:c r="EX17" s="31" t="n">
        <x:v>5</x:v>
      </x:c>
      <x:c r="EY17" s="31" t="n">
        <x:v>290</x:v>
      </x:c>
      <x:c r="EZ17" s="31" t="n">
        <x:v>160</x:v>
      </x:c>
      <x:c r="FA17" s="31" t="n">
        <x:v>130</x:v>
      </x:c>
      <x:c r="FB17" s="31" t="n">
        <x:v>58</x:v>
      </x:c>
      <x:c r="FC17" s="31" t="n">
        <x:v>27</x:v>
      </x:c>
      <x:c r="FD17" s="31" t="n">
        <x:v>31</x:v>
      </x:c>
      <x:c r="FE17" s="31" t="n">
        <x:v>1434</x:v>
      </x:c>
      <x:c r="FF17" s="31" t="n">
        <x:v>1432</x:v>
      </x:c>
      <x:c r="FG17" s="31" t="n">
        <x:v>992</x:v>
      </x:c>
      <x:c r="FH17" s="31" t="n">
        <x:v>281</x:v>
      </x:c>
      <x:c r="FI17" s="31" t="n">
        <x:v>159</x:v>
      </x:c>
      <x:c r="FJ17" s="31" t="n">
        <x:v>2</x:v>
      </x:c>
      <x:c r="FK17" s="31" t="n">
        <x:v>992</x:v>
      </x:c>
      <x:c r="FL17" s="31" t="n">
        <x:v>898</x:v>
      </x:c>
      <x:c r="FM17" s="31" t="n">
        <x:v>10</x:v>
      </x:c>
      <x:c r="FN17" s="31" t="n">
        <x:v>1</x:v>
      </x:c>
      <x:c r="FO17" s="31" t="n">
        <x:v>78</x:v>
      </x:c>
      <x:c r="FP17" s="31" t="n">
        <x:v>5</x:v>
      </x:c>
      <x:c r="FQ17" s="31" t="n">
        <x:v>992</x:v>
      </x:c>
      <x:c r="FR17" s="31" t="n">
        <x:v>843</x:v>
      </x:c>
      <x:c r="FS17" s="31" t="n">
        <x:v>0</x:v>
      </x:c>
      <x:c r="FT17" s="31" t="n">
        <x:v>32</x:v>
      </x:c>
      <x:c r="FU17" s="31" t="n">
        <x:v>4</x:v>
      </x:c>
      <x:c r="FV17" s="31" t="n">
        <x:v>113</x:v>
      </x:c>
      <x:c r="FW17" s="31" t="n">
        <x:v>992</x:v>
      </x:c>
      <x:c r="FX17" s="31" t="n">
        <x:v>871</x:v>
      </x:c>
      <x:c r="FY17" s="31" t="n">
        <x:v>11</x:v>
      </x:c>
      <x:c r="FZ17" s="31" t="n">
        <x:v>0</x:v>
      </x:c>
      <x:c r="GA17" s="31" t="n">
        <x:v>1</x:v>
      </x:c>
      <x:c r="GB17" s="31" t="n">
        <x:v>3</x:v>
      </x:c>
      <x:c r="GC17" s="31" t="n">
        <x:v>57</x:v>
      </x:c>
      <x:c r="GD17" s="31" t="n">
        <x:v>25</x:v>
      </x:c>
      <x:c r="GE17" s="31" t="n">
        <x:v>15</x:v>
      </x:c>
      <x:c r="GF17" s="31" t="n">
        <x:v>9</x:v>
      </x:c>
      <x:c r="GG17" s="31" t="n">
        <x:v>992</x:v>
      </x:c>
      <x:c r="GH17" s="31" t="n">
        <x:v>76</x:v>
      </x:c>
      <x:c r="GI17" s="31" t="n">
        <x:v>73</x:v>
      </x:c>
      <x:c r="GJ17" s="31" t="n">
        <x:v>642</x:v>
      </x:c>
      <x:c r="GK17" s="31" t="n">
        <x:v>1</x:v>
      </x:c>
      <x:c r="GL17" s="31" t="n">
        <x:v>25</x:v>
      </x:c>
      <x:c r="GM17" s="31" t="n">
        <x:v>7</x:v>
      </x:c>
      <x:c r="GN17" s="31" t="n">
        <x:v>168</x:v>
      </x:c>
      <x:c r="GO17" s="31" t="n">
        <x:v>992</x:v>
      </x:c>
      <x:c r="GP17" s="31" t="n">
        <x:v>513</x:v>
      </x:c>
      <x:c r="GQ17" s="31" t="n">
        <x:v>166</x:v>
      </x:c>
      <x:c r="GR17" s="31" t="n">
        <x:v>286</x:v>
      </x:c>
      <x:c r="GS17" s="31" t="n">
        <x:v>16</x:v>
      </x:c>
      <x:c r="GT17" s="31" t="n">
        <x:v>0</x:v>
      </x:c>
      <x:c r="GU17" s="31" t="n">
        <x:v>1</x:v>
      </x:c>
      <x:c r="GV17" s="31" t="n">
        <x:v>0</x:v>
      </x:c>
      <x:c r="GW17" s="31" t="n">
        <x:v>10</x:v>
      </x:c>
      <x:c r="GX17" s="31" t="n">
        <x:v>992</x:v>
      </x:c>
      <x:c r="GY17" s="31" t="n">
        <x:v>23</x:v>
      </x:c>
      <x:c r="GZ17" s="31" t="n">
        <x:v>29</x:v>
      </x:c>
      <x:c r="HA17" s="31" t="n">
        <x:v>21</x:v>
      </x:c>
      <x:c r="HB17" s="31" t="n">
        <x:v>10</x:v>
      </x:c>
      <x:c r="HC17" s="31" t="n">
        <x:v>818</x:v>
      </x:c>
      <x:c r="HD17" s="31" t="n">
        <x:v>87</x:v>
      </x:c>
      <x:c r="HE17" s="31" t="n">
        <x:v>4</x:v>
      </x:c>
      <x:c r="HF17" s="31" t="n">
        <x:v>992</x:v>
      </x:c>
      <x:c r="HG17" s="31" t="n">
        <x:v>701</x:v>
      </x:c>
      <x:c r="HH17" s="31" t="n">
        <x:v>603</x:v>
      </x:c>
      <x:c r="HI17" s="31" t="n">
        <x:v>820</x:v>
      </x:c>
      <x:c r="HJ17" s="31" t="n">
        <x:v>606</x:v>
      </x:c>
      <x:c r="HK17" s="31" t="str">
        <x:v>Ficha_INE_Cordillera_de_Sama.pdf</x:v>
      </x:c>
      <x:c r="HL17" s="31" t="str">
        <x:v>Instituto Nacional de Estadística, Censo de Población y Vivienda 2024</x:v>
      </x:c>
    </x:row>
    <x:row r="18" ht="20" customHeight="1">
      <x:c r="A18" s="31" t="str">
        <x:v>AP-1001</x:v>
      </x:c>
      <x:c r="B18" s="31" t="str">
        <x:v>Toro Toro</x:v>
      </x:c>
      <x:c r="C18" s="31" t="n">
        <x:v>3</x:v>
      </x:c>
      <x:c r="D18" s="31" t="str">
        <x:v>Sí</x:v>
      </x:c>
      <x:c r="E18" s="31" t="str">
        <x:v>POTOSÍ</x:v>
      </x:c>
      <x:c r="F18" s="31" t="str">
        <x:v>CHARCAS</x:v>
      </x:c>
      <x:c r="G18" s="31" t="str">
        <x:v>TORO TORO</x:v>
      </x:c>
      <x:c r="H18" s="31" t="n">
        <x:v>2679</x:v>
      </x:c>
      <x:c r="I18" s="31" t="n">
        <x:v>1337</x:v>
      </x:c>
      <x:c r="J18" s="31" t="n">
        <x:v>1342</x:v>
      </x:c>
      <x:c r="K18" s="31" t="n">
        <x:v>1041</x:v>
      </x:c>
      <x:c r="L18" s="31" t="n">
        <x:v>535</x:v>
      </x:c>
      <x:c r="M18" s="31" t="n">
        <x:v>506</x:v>
      </x:c>
      <x:c r="N18" s="31" t="n">
        <x:v>740</x:v>
      </x:c>
      <x:c r="O18" s="31" t="n">
        <x:v>359</x:v>
      </x:c>
      <x:c r="P18" s="31" t="n">
        <x:v>381</x:v>
      </x:c>
      <x:c r="Q18" s="31" t="n">
        <x:v>494</x:v>
      </x:c>
      <x:c r="R18" s="31" t="n">
        <x:v>249</x:v>
      </x:c>
      <x:c r="S18" s="31" t="n">
        <x:v>245</x:v>
      </x:c>
      <x:c r="T18" s="31" t="n">
        <x:v>404</x:v>
      </x:c>
      <x:c r="U18" s="31" t="n">
        <x:v>194</x:v>
      </x:c>
      <x:c r="V18" s="31" t="n">
        <x:v>210</x:v>
      </x:c>
      <x:c r="W18" s="31" t="n">
        <x:v>2679</x:v>
      </x:c>
      <x:c r="X18" s="31" t="n">
        <x:v>1337</x:v>
      </x:c>
      <x:c r="Y18" s="31" t="n">
        <x:v>1342</x:v>
      </x:c>
      <x:c r="Z18" s="31" t="n">
        <x:v>1791</x:v>
      </x:c>
      <x:c r="AA18" s="31" t="n">
        <x:v>884</x:v>
      </x:c>
      <x:c r="AB18" s="31" t="n">
        <x:v>907</x:v>
      </x:c>
      <x:c r="AC18" s="31" t="n">
        <x:v>804</x:v>
      </x:c>
      <x:c r="AD18" s="31" t="n">
        <x:v>409</x:v>
      </x:c>
      <x:c r="AE18" s="31" t="n">
        <x:v>395</x:v>
      </x:c>
      <x:c r="AF18" s="31" t="n">
        <x:v>28</x:v>
      </x:c>
      <x:c r="AG18" s="31" t="n">
        <x:v>18</x:v>
      </x:c>
      <x:c r="AH18" s="31" t="n">
        <x:v>10</x:v>
      </x:c>
      <x:c r="AI18" s="31" t="n">
        <x:v>56</x:v>
      </x:c>
      <x:c r="AJ18" s="31" t="n">
        <x:v>26</x:v>
      </x:c>
      <x:c r="AK18" s="31" t="n">
        <x:v>30</x:v>
      </x:c>
      <x:c r="AL18" s="31" t="n">
        <x:v>2679</x:v>
      </x:c>
      <x:c r="AM18" s="31" t="n">
        <x:v>1337</x:v>
      </x:c>
      <x:c r="AN18" s="31" t="n">
        <x:v>1342</x:v>
      </x:c>
      <x:c r="AO18" s="31" t="n">
        <x:v>2335</x:v>
      </x:c>
      <x:c r="AP18" s="31" t="n">
        <x:v>1150</x:v>
      </x:c>
      <x:c r="AQ18" s="31" t="n">
        <x:v>1185</x:v>
      </x:c>
      <x:c r="AR18" s="31" t="n">
        <x:v>298</x:v>
      </x:c>
      <x:c r="AS18" s="31" t="n">
        <x:v>165</x:v>
      </x:c>
      <x:c r="AT18" s="31" t="n">
        <x:v>133</x:v>
      </x:c>
      <x:c r="AU18" s="31" t="n">
        <x:v>12</x:v>
      </x:c>
      <x:c r="AV18" s="31" t="n">
        <x:v>10</x:v>
      </x:c>
      <x:c r="AW18" s="31" t="n">
        <x:v>2</x:v>
      </x:c>
      <x:c r="AX18" s="31" t="n">
        <x:v>34</x:v>
      </x:c>
      <x:c r="AY18" s="31" t="n">
        <x:v>12</x:v>
      </x:c>
      <x:c r="AZ18" s="31" t="n">
        <x:v>22</x:v>
      </x:c>
      <x:c r="BA18" s="31" t="n">
        <x:v>1636</x:v>
      </x:c>
      <x:c r="BB18" s="31" t="n">
        <x:v>796</x:v>
      </x:c>
      <x:c r="BC18" s="31" t="n">
        <x:v>840</x:v>
      </x:c>
      <x:c r="BD18" s="31" t="n">
        <x:v>250</x:v>
      </x:c>
      <x:c r="BE18" s="31" t="n">
        <x:v>56</x:v>
      </x:c>
      <x:c r="BF18" s="31" t="n">
        <x:v>194</x:v>
      </x:c>
      <x:c r="BG18" s="31" t="n">
        <x:v>528</x:v>
      </x:c>
      <x:c r="BH18" s="31" t="n">
        <x:v>263</x:v>
      </x:c>
      <x:c r="BI18" s="31" t="n">
        <x:v>265</x:v>
      </x:c>
      <x:c r="BJ18" s="31" t="n">
        <x:v>442</x:v>
      </x:c>
      <x:c r="BK18" s="31" t="n">
        <x:v>255</x:v>
      </x:c>
      <x:c r="BL18" s="31" t="n">
        <x:v>187</x:v>
      </x:c>
      <x:c r="BM18" s="31" t="n">
        <x:v>401</x:v>
      </x:c>
      <x:c r="BN18" s="31" t="n">
        <x:v>216</x:v>
      </x:c>
      <x:c r="BO18" s="31" t="n">
        <x:v>185</x:v>
      </x:c>
      <x:c r="BP18" s="31" t="n">
        <x:v>15</x:v>
      </x:c>
      <x:c r="BQ18" s="31" t="n">
        <x:v>6</x:v>
      </x:c>
      <x:c r="BR18" s="31" t="n">
        <x:v>9</x:v>
      </x:c>
      <x:c r="BS18" s="31" t="n">
        <x:v>1448</x:v>
      </x:c>
      <x:c r="BT18" s="31" t="n">
        <x:v>778</x:v>
      </x:c>
      <x:c r="BU18" s="31" t="n">
        <x:v>670</x:v>
      </x:c>
      <x:c r="BV18" s="31" t="n">
        <x:v>361</x:v>
      </x:c>
      <x:c r="BW18" s="31" t="n">
        <x:v>195</x:v>
      </x:c>
      <x:c r="BX18" s="31" t="n">
        <x:v>166</x:v>
      </x:c>
      <x:c r="BY18" s="31" t="n">
        <x:v>753</x:v>
      </x:c>
      <x:c r="BZ18" s="31" t="n">
        <x:v>423</x:v>
      </x:c>
      <x:c r="CA18" s="31" t="n">
        <x:v>330</x:v>
      </x:c>
      <x:c r="CB18" s="31" t="n">
        <x:v>188</x:v>
      </x:c>
      <x:c r="CC18" s="31" t="n">
        <x:v>75</x:v>
      </x:c>
      <x:c r="CD18" s="31" t="n">
        <x:v>113</x:v>
      </x:c>
      <x:c r="CE18" s="31" t="n">
        <x:v>146</x:v>
      </x:c>
      <x:c r="CF18" s="31" t="n">
        <x:v>85</x:v>
      </x:c>
      <x:c r="CG18" s="31" t="n">
        <x:v>61</x:v>
      </x:c>
      <x:c r="CH18" s="31" t="n">
        <x:v>2679</x:v>
      </x:c>
      <x:c r="CI18" s="31" t="n">
        <x:v>1337</x:v>
      </x:c>
      <x:c r="CJ18" s="31" t="n">
        <x:v>1342</x:v>
      </x:c>
      <x:c r="CK18" s="31" t="n">
        <x:v>2191</x:v>
      </x:c>
      <x:c r="CL18" s="31" t="n">
        <x:v>1058</x:v>
      </x:c>
      <x:c r="CM18" s="31" t="n">
        <x:v>1133</x:v>
      </x:c>
      <x:c r="CN18" s="31" t="n">
        <x:v>273</x:v>
      </x:c>
      <x:c r="CO18" s="31" t="n">
        <x:v>137</x:v>
      </x:c>
      <x:c r="CP18" s="31" t="n">
        <x:v>136</x:v>
      </x:c>
      <x:c r="CQ18" s="31" t="n">
        <x:v>393</x:v>
      </x:c>
      <x:c r="CR18" s="31" t="n">
        <x:v>183</x:v>
      </x:c>
      <x:c r="CS18" s="31" t="n">
        <x:v>210</x:v>
      </x:c>
      <x:c r="CT18" s="31" t="n">
        <x:v>218</x:v>
      </x:c>
      <x:c r="CU18" s="31" t="n">
        <x:v>93</x:v>
      </x:c>
      <x:c r="CV18" s="31" t="n">
        <x:v>125</x:v>
      </x:c>
      <x:c r="CW18" s="31" t="n">
        <x:v>891</x:v>
      </x:c>
      <x:c r="CX18" s="31" t="n">
        <x:v>454</x:v>
      </x:c>
      <x:c r="CY18" s="31" t="n">
        <x:v>437</x:v>
      </x:c>
      <x:c r="CZ18" s="31" t="n">
        <x:v>1342</x:v>
      </x:c>
      <x:c r="DA18" s="31" t="n">
        <x:v>661</x:v>
      </x:c>
      <x:c r="DB18" s="31" t="n">
        <x:v>681</x:v>
      </x:c>
      <x:c r="DC18" s="31" t="n">
        <x:v>1701</x:v>
      </x:c>
      <x:c r="DD18" s="31" t="n">
        <x:v>819</x:v>
      </x:c>
      <x:c r="DE18" s="31" t="n">
        <x:v>882</x:v>
      </x:c>
      <x:c r="DF18" s="31" t="n">
        <x:v>1448</x:v>
      </x:c>
      <x:c r="DG18" s="31" t="n">
        <x:v>778</x:v>
      </x:c>
      <x:c r="DH18" s="31" t="n">
        <x:v>670</x:v>
      </x:c>
      <x:c r="DI18" s="31" t="n">
        <x:v>610</x:v>
      </x:c>
      <x:c r="DJ18" s="31" t="n">
        <x:v>330</x:v>
      </x:c>
      <x:c r="DK18" s="31" t="n">
        <x:v>280</x:v>
      </x:c>
      <x:c r="DL18" s="31" t="n">
        <x:v>145</x:v>
      </x:c>
      <x:c r="DM18" s="31" t="n">
        <x:v>40</x:v>
      </x:c>
      <x:c r="DN18" s="31" t="n">
        <x:v>105</x:v>
      </x:c>
      <x:c r="DO18" s="31" t="n">
        <x:v>63</x:v>
      </x:c>
      <x:c r="DP18" s="31" t="n">
        <x:v>33</x:v>
      </x:c>
      <x:c r="DQ18" s="31" t="n">
        <x:v>30</x:v>
      </x:c>
      <x:c r="DR18" s="31" t="n">
        <x:v>152</x:v>
      </x:c>
      <x:c r="DS18" s="31" t="n">
        <x:v>149</x:v>
      </x:c>
      <x:c r="DT18" s="31" t="n">
        <x:v>3</x:v>
      </x:c>
      <x:c r="DU18" s="31" t="n">
        <x:v>62</x:v>
      </x:c>
      <x:c r="DV18" s="31" t="n">
        <x:v>58</x:v>
      </x:c>
      <x:c r="DW18" s="31" t="n">
        <x:v>4</x:v>
      </x:c>
      <x:c r="DX18" s="31" t="n">
        <x:v>108</x:v>
      </x:c>
      <x:c r="DY18" s="31" t="n">
        <x:v>19</x:v>
      </x:c>
      <x:c r="DZ18" s="31" t="n">
        <x:v>89</x:v>
      </x:c>
      <x:c r="EA18" s="31" t="n">
        <x:v>78</x:v>
      </x:c>
      <x:c r="EB18" s="31" t="n">
        <x:v>33</x:v>
      </x:c>
      <x:c r="EC18" s="31" t="n">
        <x:v>45</x:v>
      </x:c>
      <x:c r="ED18" s="31" t="n">
        <x:v>31</x:v>
      </x:c>
      <x:c r="EE18" s="31" t="n">
        <x:v>13</x:v>
      </x:c>
      <x:c r="EF18" s="31" t="n">
        <x:v>18</x:v>
      </x:c>
      <x:c r="EG18" s="31" t="n">
        <x:v>171</x:v>
      </x:c>
      <x:c r="EH18" s="31" t="n">
        <x:v>92</x:v>
      </x:c>
      <x:c r="EI18" s="31" t="n">
        <x:v>79</x:v>
      </x:c>
      <x:c r="EJ18" s="31" t="n">
        <x:v>28</x:v>
      </x:c>
      <x:c r="EK18" s="31" t="n">
        <x:v>11</x:v>
      </x:c>
      <x:c r="EL18" s="31" t="n">
        <x:v>17</x:v>
      </x:c>
      <x:c r="EM18" s="31" t="n">
        <x:v>2633</x:v>
      </x:c>
      <x:c r="EN18" s="31" t="n">
        <x:v>1315</x:v>
      </x:c>
      <x:c r="EO18" s="31" t="n">
        <x:v>1318</x:v>
      </x:c>
      <x:c r="EP18" s="31" t="n">
        <x:v>2144</x:v>
      </x:c>
      <x:c r="EQ18" s="31" t="n">
        <x:v>1037</x:v>
      </x:c>
      <x:c r="ER18" s="31" t="n">
        <x:v>1107</x:v>
      </x:c>
      <x:c r="ES18" s="31" t="n">
        <x:v>228</x:v>
      </x:c>
      <x:c r="ET18" s="31" t="n">
        <x:v>123</x:v>
      </x:c>
      <x:c r="EU18" s="31" t="n">
        <x:v>105</x:v>
      </x:c>
      <x:c r="EV18" s="31" t="n">
        <x:v>12</x:v>
      </x:c>
      <x:c r="EW18" s="31" t="n">
        <x:v>6</x:v>
      </x:c>
      <x:c r="EX18" s="31" t="n">
        <x:v>6</x:v>
      </x:c>
      <x:c r="EY18" s="31" t="n">
        <x:v>193</x:v>
      </x:c>
      <x:c r="EZ18" s="31" t="n">
        <x:v>113</x:v>
      </x:c>
      <x:c r="FA18" s="31" t="n">
        <x:v>80</x:v>
      </x:c>
      <x:c r="FB18" s="31" t="n">
        <x:v>56</x:v>
      </x:c>
      <x:c r="FC18" s="31" t="n">
        <x:v>36</x:v>
      </x:c>
      <x:c r="FD18" s="31" t="n">
        <x:v>20</x:v>
      </x:c>
      <x:c r="FE18" s="31" t="n">
        <x:v>1620</x:v>
      </x:c>
      <x:c r="FF18" s="31" t="n">
        <x:v>1600</x:v>
      </x:c>
      <x:c r="FG18" s="31" t="n">
        <x:v>1155</x:v>
      </x:c>
      <x:c r="FH18" s="31" t="n">
        <x:v>299</x:v>
      </x:c>
      <x:c r="FI18" s="31" t="n">
        <x:v>146</x:v>
      </x:c>
      <x:c r="FJ18" s="31" t="n">
        <x:v>20</x:v>
      </x:c>
      <x:c r="FK18" s="31" t="n">
        <x:v>1155</x:v>
      </x:c>
      <x:c r="FL18" s="31" t="n">
        <x:v>923</x:v>
      </x:c>
      <x:c r="FM18" s="31" t="n">
        <x:v>116</x:v>
      </x:c>
      <x:c r="FN18" s="31" t="n">
        <x:v>10</x:v>
      </x:c>
      <x:c r="FO18" s="31" t="n">
        <x:v>72</x:v>
      </x:c>
      <x:c r="FP18" s="31" t="n">
        <x:v>34</x:v>
      </x:c>
      <x:c r="FQ18" s="31" t="n">
        <x:v>1155</x:v>
      </x:c>
      <x:c r="FR18" s="31" t="n">
        <x:v>847</x:v>
      </x:c>
      <x:c r="FS18" s="31" t="n">
        <x:v>1</x:v>
      </x:c>
      <x:c r="FT18" s="31" t="n">
        <x:v>8</x:v>
      </x:c>
      <x:c r="FU18" s="31" t="n">
        <x:v>2</x:v>
      </x:c>
      <x:c r="FV18" s="31" t="n">
        <x:v>297</x:v>
      </x:c>
      <x:c r="FW18" s="31" t="n">
        <x:v>1155</x:v>
      </x:c>
      <x:c r="FX18" s="31" t="n">
        <x:v>855</x:v>
      </x:c>
      <x:c r="FY18" s="31" t="n">
        <x:v>82</x:v>
      </x:c>
      <x:c r="FZ18" s="31" t="n">
        <x:v>1</x:v>
      </x:c>
      <x:c r="GA18" s="31" t="n">
        <x:v>10</x:v>
      </x:c>
      <x:c r="GB18" s="31" t="n">
        <x:v>29</x:v>
      </x:c>
      <x:c r="GC18" s="31" t="n">
        <x:v>75</x:v>
      </x:c>
      <x:c r="GD18" s="31" t="n">
        <x:v>28</x:v>
      </x:c>
      <x:c r="GE18" s="31" t="n">
        <x:v>30</x:v>
      </x:c>
      <x:c r="GF18" s="31" t="n">
        <x:v>45</x:v>
      </x:c>
      <x:c r="GG18" s="31" t="n">
        <x:v>1155</x:v>
      </x:c>
      <x:c r="GH18" s="31" t="n">
        <x:v>333</x:v>
      </x:c>
      <x:c r="GI18" s="31" t="n">
        <x:v>29</x:v>
      </x:c>
      <x:c r="GJ18" s="31" t="n">
        <x:v>141</x:v>
      </x:c>
      <x:c r="GK18" s="31" t="n">
        <x:v>5</x:v>
      </x:c>
      <x:c r="GL18" s="31" t="n">
        <x:v>7</x:v>
      </x:c>
      <x:c r="GM18" s="31" t="n">
        <x:v>5</x:v>
      </x:c>
      <x:c r="GN18" s="31" t="n">
        <x:v>635</x:v>
      </x:c>
      <x:c r="GO18" s="31" t="n">
        <x:v>1155</x:v>
      </x:c>
      <x:c r="GP18" s="31" t="n">
        <x:v>718</x:v>
      </x:c>
      <x:c r="GQ18" s="31" t="n">
        <x:v>4</x:v>
      </x:c>
      <x:c r="GR18" s="31" t="n">
        <x:v>397</x:v>
      </x:c>
      <x:c r="GS18" s="31" t="n">
        <x:v>2</x:v>
      </x:c>
      <x:c r="GT18" s="31" t="n">
        <x:v>1</x:v>
      </x:c>
      <x:c r="GU18" s="31" t="n">
        <x:v>0</x:v>
      </x:c>
      <x:c r="GV18" s="31" t="n">
        <x:v>1</x:v>
      </x:c>
      <x:c r="GW18" s="31" t="n">
        <x:v>32</x:v>
      </x:c>
      <x:c r="GX18" s="31" t="n">
        <x:v>1155</x:v>
      </x:c>
      <x:c r="GY18" s="31" t="n">
        <x:v>100</x:v>
      </x:c>
      <x:c r="GZ18" s="31" t="n">
        <x:v>435</x:v>
      </x:c>
      <x:c r="HA18" s="31" t="n">
        <x:v>5</x:v>
      </x:c>
      <x:c r="HB18" s="31" t="n">
        <x:v>9</x:v>
      </x:c>
      <x:c r="HC18" s="31" t="n">
        <x:v>566</x:v>
      </x:c>
      <x:c r="HD18" s="31" t="n">
        <x:v>28</x:v>
      </x:c>
      <x:c r="HE18" s="31" t="n">
        <x:v>12</x:v>
      </x:c>
      <x:c r="HF18" s="31" t="n">
        <x:v>1155</x:v>
      </x:c>
      <x:c r="HG18" s="31" t="n">
        <x:v>449</x:v>
      </x:c>
      <x:c r="HH18" s="31" t="n">
        <x:v>492</x:v>
      </x:c>
      <x:c r="HI18" s="31" t="n">
        <x:v>913</x:v>
      </x:c>
      <x:c r="HJ18" s="31" t="n">
        <x:v>669</x:v>
      </x:c>
      <x:c r="HK18" s="31" t="str">
        <x:v>Ficha_INE_Toro_Toro.pdf</x:v>
      </x:c>
      <x:c r="HL18" s="31" t="str">
        <x:v>Instituto Nacional de Estadística, Censo de Población y Vivienda 2024</x:v>
      </x:c>
    </x:row>
    <x:row r="19" ht="20" customHeight="1">
      <x:c r="A19" s="31" t="str">
        <x:v>AP-1905</x:v>
      </x:c>
      <x:c r="B19" s="31" t="str">
        <x:v>San Matias</x:v>
      </x:c>
      <x:c r="C19" s="31" t="n">
        <x:v>21</x:v>
      </x:c>
      <x:c r="D19" s="31" t="str">
        <x:v>Sí</x:v>
      </x:c>
      <x:c r="E19" s="31" t="str">
        <x:v>SANTA CRUZ</x:v>
      </x:c>
      <x:c r="F19" s="31" t="str">
        <x:v>ÁNGEL SANDOVAL, GERMÁN BUSCH, VELASCO</x:v>
      </x:c>
      <x:c r="G19" s="31" t="str">
        <x:v>SAN MATÍAS, PUERTO SUÁREZ, PUERTO</x:v>
      </x:c>
      <x:c r="H19" s="31" t="n">
        <x:v>2609</x:v>
      </x:c>
      <x:c r="I19" s="31" t="n">
        <x:v>1444</x:v>
      </x:c>
      <x:c r="J19" s="31" t="n">
        <x:v>1165</x:v>
      </x:c>
      <x:c r="K19" s="31" t="n">
        <x:v>1194</x:v>
      </x:c>
      <x:c r="L19" s="31" t="n">
        <x:v>625</x:v>
      </x:c>
      <x:c r="M19" s="31" t="n">
        <x:v>569</x:v>
      </x:c>
      <x:c r="N19" s="31" t="n">
        <x:v>687</x:v>
      </x:c>
      <x:c r="O19" s="31" t="n">
        <x:v>387</x:v>
      </x:c>
      <x:c r="P19" s="31" t="n">
        <x:v>300</x:v>
      </x:c>
      <x:c r="Q19" s="31" t="n">
        <x:v>483</x:v>
      </x:c>
      <x:c r="R19" s="31" t="n">
        <x:v>298</x:v>
      </x:c>
      <x:c r="S19" s="31" t="n">
        <x:v>185</x:v>
      </x:c>
      <x:c r="T19" s="31" t="n">
        <x:v>245</x:v>
      </x:c>
      <x:c r="U19" s="31" t="n">
        <x:v>134</x:v>
      </x:c>
      <x:c r="V19" s="31" t="n">
        <x:v>111</x:v>
      </x:c>
      <x:c r="W19" s="31" t="n">
        <x:v>2609</x:v>
      </x:c>
      <x:c r="X19" s="31" t="n">
        <x:v>1444</x:v>
      </x:c>
      <x:c r="Y19" s="31" t="n">
        <x:v>1165</x:v>
      </x:c>
      <x:c r="Z19" s="31" t="n">
        <x:v>1856</x:v>
      </x:c>
      <x:c r="AA19" s="31" t="n">
        <x:v>995</x:v>
      </x:c>
      <x:c r="AB19" s="31" t="n">
        <x:v>861</x:v>
      </x:c>
      <x:c r="AC19" s="31" t="n">
        <x:v>664</x:v>
      </x:c>
      <x:c r="AD19" s="31" t="n">
        <x:v>400</x:v>
      </x:c>
      <x:c r="AE19" s="31" t="n">
        <x:v>264</x:v>
      </x:c>
      <x:c r="AF19" s="31" t="n">
        <x:v>35</x:v>
      </x:c>
      <x:c r="AG19" s="31" t="n">
        <x:v>24</x:v>
      </x:c>
      <x:c r="AH19" s="31" t="n">
        <x:v>11</x:v>
      </x:c>
      <x:c r="AI19" s="31" t="n">
        <x:v>54</x:v>
      </x:c>
      <x:c r="AJ19" s="31" t="n">
        <x:v>25</x:v>
      </x:c>
      <x:c r="AK19" s="31" t="n">
        <x:v>29</x:v>
      </x:c>
      <x:c r="AL19" s="31" t="n">
        <x:v>2609</x:v>
      </x:c>
      <x:c r="AM19" s="31" t="n">
        <x:v>1444</x:v>
      </x:c>
      <x:c r="AN19" s="31" t="n">
        <x:v>1165</x:v>
      </x:c>
      <x:c r="AO19" s="31" t="n">
        <x:v>2389</x:v>
      </x:c>
      <x:c r="AP19" s="31" t="n">
        <x:v>1303</x:v>
      </x:c>
      <x:c r="AQ19" s="31" t="n">
        <x:v>1086</x:v>
      </x:c>
      <x:c r="AR19" s="31" t="n">
        <x:v>188</x:v>
      </x:c>
      <x:c r="AS19" s="31" t="n">
        <x:v>126</x:v>
      </x:c>
      <x:c r="AT19" s="31" t="n">
        <x:v>62</x:v>
      </x:c>
      <x:c r="AU19" s="31" t="n">
        <x:v>2</x:v>
      </x:c>
      <x:c r="AV19" s="31" t="n">
        <x:v>2</x:v>
      </x:c>
      <x:c r="AW19" s="31" t="n">
        <x:v>0</x:v>
      </x:c>
      <x:c r="AX19" s="31" t="n">
        <x:v>30</x:v>
      </x:c>
      <x:c r="AY19" s="31" t="n">
        <x:v>13</x:v>
      </x:c>
      <x:c r="AZ19" s="31" t="n">
        <x:v>17</x:v>
      </x:c>
      <x:c r="BA19" s="31" t="n">
        <x:v>1431</x:v>
      </x:c>
      <x:c r="BB19" s="31" t="n">
        <x:v>825</x:v>
      </x:c>
      <x:c r="BC19" s="31" t="n">
        <x:v>606</x:v>
      </x:c>
      <x:c r="BD19" s="31" t="n">
        <x:v>40</x:v>
      </x:c>
      <x:c r="BE19" s="31" t="n">
        <x:v>14</x:v>
      </x:c>
      <x:c r="BF19" s="31" t="n">
        <x:v>26</x:v>
      </x:c>
      <x:c r="BG19" s="31" t="n">
        <x:v>488</x:v>
      </x:c>
      <x:c r="BH19" s="31" t="n">
        <x:v>270</x:v>
      </x:c>
      <x:c r="BI19" s="31" t="n">
        <x:v>218</x:v>
      </x:c>
      <x:c r="BJ19" s="31" t="n">
        <x:v>719</x:v>
      </x:c>
      <x:c r="BK19" s="31" t="n">
        <x:v>429</x:v>
      </x:c>
      <x:c r="BL19" s="31" t="n">
        <x:v>290</x:v>
      </x:c>
      <x:c r="BM19" s="31" t="n">
        <x:v>154</x:v>
      </x:c>
      <x:c r="BN19" s="31" t="n">
        <x:v>96</x:v>
      </x:c>
      <x:c r="BO19" s="31" t="n">
        <x:v>58</x:v>
      </x:c>
      <x:c r="BP19" s="31" t="n">
        <x:v>30</x:v>
      </x:c>
      <x:c r="BQ19" s="31" t="n">
        <x:v>16</x:v>
      </x:c>
      <x:c r="BR19" s="31" t="n">
        <x:v>14</x:v>
      </x:c>
      <x:c r="BS19" s="31" t="n">
        <x:v>1096</x:v>
      </x:c>
      <x:c r="BT19" s="31" t="n">
        <x:v>710</x:v>
      </x:c>
      <x:c r="BU19" s="31" t="n">
        <x:v>386</x:v>
      </x:c>
      <x:c r="BV19" s="31" t="n">
        <x:v>366</x:v>
      </x:c>
      <x:c r="BW19" s="31" t="n">
        <x:v>311</x:v>
      </x:c>
      <x:c r="BX19" s="31" t="n">
        <x:v>55</x:v>
      </x:c>
      <x:c r="BY19" s="31" t="n">
        <x:v>419</x:v>
      </x:c>
      <x:c r="BZ19" s="31" t="n">
        <x:v>265</x:v>
      </x:c>
      <x:c r="CA19" s="31" t="n">
        <x:v>154</x:v>
      </x:c>
      <x:c r="CB19" s="31" t="n">
        <x:v>190</x:v>
      </x:c>
      <x:c r="CC19" s="31" t="n">
        <x:v>53</x:v>
      </x:c>
      <x:c r="CD19" s="31" t="n">
        <x:v>137</x:v>
      </x:c>
      <x:c r="CE19" s="31" t="n">
        <x:v>121</x:v>
      </x:c>
      <x:c r="CF19" s="31" t="n">
        <x:v>81</x:v>
      </x:c>
      <x:c r="CG19" s="31" t="n">
        <x:v>40</x:v>
      </x:c>
      <x:c r="CH19" s="31" t="n">
        <x:v>2609</x:v>
      </x:c>
      <x:c r="CI19" s="31" t="n">
        <x:v>1444</x:v>
      </x:c>
      <x:c r="CJ19" s="31" t="n">
        <x:v>1165</x:v>
      </x:c>
      <x:c r="CK19" s="31" t="n">
        <x:v>2260</x:v>
      </x:c>
      <x:c r="CL19" s="31" t="n">
        <x:v>1221</x:v>
      </x:c>
      <x:c r="CM19" s="31" t="n">
        <x:v>1039</x:v>
      </x:c>
      <x:c r="CN19" s="31" t="n">
        <x:v>175</x:v>
      </x:c>
      <x:c r="CO19" s="31" t="n">
        <x:v>125</x:v>
      </x:c>
      <x:c r="CP19" s="31" t="n">
        <x:v>50</x:v>
      </x:c>
      <x:c r="CQ19" s="31" t="n">
        <x:v>110</x:v>
      </x:c>
      <x:c r="CR19" s="31" t="n">
        <x:v>64</x:v>
      </x:c>
      <x:c r="CS19" s="31" t="n">
        <x:v>46</x:v>
      </x:c>
      <x:c r="CT19" s="31" t="n">
        <x:v>139</x:v>
      </x:c>
      <x:c r="CU19" s="31" t="n">
        <x:v>72</x:v>
      </x:c>
      <x:c r="CV19" s="31" t="n">
        <x:v>67</x:v>
      </x:c>
      <x:c r="CW19" s="31" t="n">
        <x:v>412</x:v>
      </x:c>
      <x:c r="CX19" s="31" t="n">
        <x:v>228</x:v>
      </x:c>
      <x:c r="CY19" s="31" t="n">
        <x:v>184</x:v>
      </x:c>
      <x:c r="CZ19" s="31" t="n">
        <x:v>600</x:v>
      </x:c>
      <x:c r="DA19" s="31" t="n">
        <x:v>325</x:v>
      </x:c>
      <x:c r="DB19" s="31" t="n">
        <x:v>275</x:v>
      </x:c>
      <x:c r="DC19" s="31" t="n">
        <x:v>1625</x:v>
      </x:c>
      <x:c r="DD19" s="31" t="n">
        <x:v>893</x:v>
      </x:c>
      <x:c r="DE19" s="31" t="n">
        <x:v>732</x:v>
      </x:c>
      <x:c r="DF19" s="31" t="n">
        <x:v>1096</x:v>
      </x:c>
      <x:c r="DG19" s="31" t="n">
        <x:v>710</x:v>
      </x:c>
      <x:c r="DH19" s="31" t="n">
        <x:v>386</x:v>
      </x:c>
      <x:c r="DI19" s="31" t="n">
        <x:v>785</x:v>
      </x:c>
      <x:c r="DJ19" s="31" t="n">
        <x:v>539</x:v>
      </x:c>
      <x:c r="DK19" s="31" t="n">
        <x:v>246</x:v>
      </x:c>
      <x:c r="DL19" s="31" t="n">
        <x:v>49</x:v>
      </x:c>
      <x:c r="DM19" s="31" t="n">
        <x:v>21</x:v>
      </x:c>
      <x:c r="DN19" s="31" t="n">
        <x:v>28</x:v>
      </x:c>
      <x:c r="DO19" s="31" t="n">
        <x:v>30</x:v>
      </x:c>
      <x:c r="DP19" s="31" t="n">
        <x:v>15</x:v>
      </x:c>
      <x:c r="DQ19" s="31" t="n">
        <x:v>15</x:v>
      </x:c>
      <x:c r="DR19" s="31" t="n">
        <x:v>26</x:v>
      </x:c>
      <x:c r="DS19" s="31" t="n">
        <x:v>26</x:v>
      </x:c>
      <x:c r="DT19" s="31" t="n">
        <x:v>0</x:v>
      </x:c>
      <x:c r="DU19" s="31" t="n">
        <x:v>7</x:v>
      </x:c>
      <x:c r="DV19" s="31" t="n">
        <x:v>7</x:v>
      </x:c>
      <x:c r="DW19" s="31" t="n">
        <x:v>0</x:v>
      </x:c>
      <x:c r="DX19" s="31" t="n">
        <x:v>12</x:v>
      </x:c>
      <x:c r="DY19" s="31" t="n">
        <x:v>3</x:v>
      </x:c>
      <x:c r="DZ19" s="31" t="n">
        <x:v>9</x:v>
      </x:c>
      <x:c r="EA19" s="31" t="n">
        <x:v>59</x:v>
      </x:c>
      <x:c r="EB19" s="31" t="n">
        <x:v>30</x:v>
      </x:c>
      <x:c r="EC19" s="31" t="n">
        <x:v>29</x:v>
      </x:c>
      <x:c r="ED19" s="31" t="n">
        <x:v>10</x:v>
      </x:c>
      <x:c r="EE19" s="31" t="n">
        <x:v>3</x:v>
      </x:c>
      <x:c r="EF19" s="31" t="n">
        <x:v>7</x:v>
      </x:c>
      <x:c r="EG19" s="31" t="n">
        <x:v>92</x:v>
      </x:c>
      <x:c r="EH19" s="31" t="n">
        <x:v>59</x:v>
      </x:c>
      <x:c r="EI19" s="31" t="n">
        <x:v>33</x:v>
      </x:c>
      <x:c r="EJ19" s="31" t="n">
        <x:v>26</x:v>
      </x:c>
      <x:c r="EK19" s="31" t="n">
        <x:v>7</x:v>
      </x:c>
      <x:c r="EL19" s="31" t="n">
        <x:v>19</x:v>
      </x:c>
      <x:c r="EM19" s="31" t="n">
        <x:v>2577</x:v>
      </x:c>
      <x:c r="EN19" s="31" t="n">
        <x:v>1429</x:v>
      </x:c>
      <x:c r="EO19" s="31" t="n">
        <x:v>1148</x:v>
      </x:c>
      <x:c r="EP19" s="31" t="n">
        <x:v>1656</x:v>
      </x:c>
      <x:c r="EQ19" s="31" t="n">
        <x:v>867</x:v>
      </x:c>
      <x:c r="ER19" s="31" t="n">
        <x:v>789</x:v>
      </x:c>
      <x:c r="ES19" s="31" t="n">
        <x:v>156</x:v>
      </x:c>
      <x:c r="ET19" s="31" t="n">
        <x:v>96</x:v>
      </x:c>
      <x:c r="EU19" s="31" t="n">
        <x:v>60</x:v>
      </x:c>
      <x:c r="EV19" s="31" t="n">
        <x:v>4</x:v>
      </x:c>
      <x:c r="EW19" s="31" t="n">
        <x:v>3</x:v>
      </x:c>
      <x:c r="EX19" s="31" t="n">
        <x:v>1</x:v>
      </x:c>
      <x:c r="EY19" s="31" t="n">
        <x:v>731</x:v>
      </x:c>
      <x:c r="EZ19" s="31" t="n">
        <x:v>446</x:v>
      </x:c>
      <x:c r="FA19" s="31" t="n">
        <x:v>285</x:v>
      </x:c>
      <x:c r="FB19" s="31" t="n">
        <x:v>30</x:v>
      </x:c>
      <x:c r="FC19" s="31" t="n">
        <x:v>17</x:v>
      </x:c>
      <x:c r="FD19" s="31" t="n">
        <x:v>13</x:v>
      </x:c>
      <x:c r="FE19" s="31" t="n">
        <x:v>794</x:v>
      </x:c>
      <x:c r="FF19" s="31" t="n">
        <x:v>784</x:v>
      </x:c>
      <x:c r="FG19" s="31" t="n">
        <x:v>637</x:v>
      </x:c>
      <x:c r="FH19" s="31" t="n">
        <x:v>110</x:v>
      </x:c>
      <x:c r="FI19" s="31" t="n">
        <x:v>37</x:v>
      </x:c>
      <x:c r="FJ19" s="31" t="n">
        <x:v>10</x:v>
      </x:c>
      <x:c r="FK19" s="31" t="n">
        <x:v>637</x:v>
      </x:c>
      <x:c r="FL19" s="31" t="n">
        <x:v>520</x:v>
      </x:c>
      <x:c r="FM19" s="31" t="n">
        <x:v>14</x:v>
      </x:c>
      <x:c r="FN19" s="31" t="n">
        <x:v>1</x:v>
      </x:c>
      <x:c r="FO19" s="31" t="n">
        <x:v>100</x:v>
      </x:c>
      <x:c r="FP19" s="31" t="n">
        <x:v>2</x:v>
      </x:c>
      <x:c r="FQ19" s="31" t="n">
        <x:v>637</x:v>
      </x:c>
      <x:c r="FR19" s="31" t="n">
        <x:v>54</x:v>
      </x:c>
      <x:c r="FS19" s="31" t="n">
        <x:v>51</x:v>
      </x:c>
      <x:c r="FT19" s="31" t="n">
        <x:v>352</x:v>
      </x:c>
      <x:c r="FU19" s="31" t="n">
        <x:v>9</x:v>
      </x:c>
      <x:c r="FV19" s="31" t="n">
        <x:v>171</x:v>
      </x:c>
      <x:c r="FW19" s="31" t="n">
        <x:v>637</x:v>
      </x:c>
      <x:c r="FX19" s="31" t="n">
        <x:v>235</x:v>
      </x:c>
      <x:c r="FY19" s="31" t="n">
        <x:v>13</x:v>
      </x:c>
      <x:c r="FZ19" s="31" t="n">
        <x:v>0</x:v>
      </x:c>
      <x:c r="GA19" s="31" t="n">
        <x:v>243</x:v>
      </x:c>
      <x:c r="GB19" s="31" t="n">
        <x:v>58</x:v>
      </x:c>
      <x:c r="GC19" s="31" t="n">
        <x:v>59</x:v>
      </x:c>
      <x:c r="GD19" s="31" t="n">
        <x:v>9</x:v>
      </x:c>
      <x:c r="GE19" s="31" t="n">
        <x:v>13</x:v>
      </x:c>
      <x:c r="GF19" s="31" t="n">
        <x:v>7</x:v>
      </x:c>
      <x:c r="GG19" s="31" t="n">
        <x:v>637</x:v>
      </x:c>
      <x:c r="GH19" s="31" t="n">
        <x:v>26</x:v>
      </x:c>
      <x:c r="GI19" s="31" t="n">
        <x:v>39</x:v>
      </x:c>
      <x:c r="GJ19" s="31" t="n">
        <x:v>420</x:v>
      </x:c>
      <x:c r="GK19" s="31" t="n">
        <x:v>1</x:v>
      </x:c>
      <x:c r="GL19" s="31" t="n">
        <x:v>79</x:v>
      </x:c>
      <x:c r="GM19" s="31" t="n">
        <x:v>18</x:v>
      </x:c>
      <x:c r="GN19" s="31" t="n">
        <x:v>54</x:v>
      </x:c>
      <x:c r="GO19" s="31" t="n">
        <x:v>637</x:v>
      </x:c>
      <x:c r="GP19" s="31" t="n">
        <x:v>123</x:v>
      </x:c>
      <x:c r="GQ19" s="31" t="n">
        <x:v>3</x:v>
      </x:c>
      <x:c r="GR19" s="31" t="n">
        <x:v>500</x:v>
      </x:c>
      <x:c r="GS19" s="31" t="n">
        <x:v>2</x:v>
      </x:c>
      <x:c r="GT19" s="31" t="n">
        <x:v>0</x:v>
      </x:c>
      <x:c r="GU19" s="31" t="n">
        <x:v>0</x:v>
      </x:c>
      <x:c r="GV19" s="31" t="n">
        <x:v>0</x:v>
      </x:c>
      <x:c r="GW19" s="31" t="n">
        <x:v>9</x:v>
      </x:c>
      <x:c r="GX19" s="31" t="n">
        <x:v>637</x:v>
      </x:c>
      <x:c r="GY19" s="31" t="n">
        <x:v>1</x:v>
      </x:c>
      <x:c r="GZ19" s="31" t="n">
        <x:v>0</x:v>
      </x:c>
      <x:c r="HA19" s="31" t="n">
        <x:v>16</x:v>
      </x:c>
      <x:c r="HB19" s="31" t="n">
        <x:v>1</x:v>
      </x:c>
      <x:c r="HC19" s="31" t="n">
        <x:v>554</x:v>
      </x:c>
      <x:c r="HD19" s="31" t="n">
        <x:v>62</x:v>
      </x:c>
      <x:c r="HE19" s="31" t="n">
        <x:v>3</x:v>
      </x:c>
      <x:c r="HF19" s="31" t="n">
        <x:v>637</x:v>
      </x:c>
      <x:c r="HG19" s="31" t="n">
        <x:v>208</x:v>
      </x:c>
      <x:c r="HH19" s="31" t="n">
        <x:v>129</x:v>
      </x:c>
      <x:c r="HI19" s="31" t="n">
        <x:v>443</x:v>
      </x:c>
      <x:c r="HJ19" s="31" t="n">
        <x:v>232</x:v>
      </x:c>
      <x:c r="HK19" s="31" t="str">
        <x:v>Ficha_INE_San_Matias.pdf</x:v>
      </x:c>
      <x:c r="HL19" s="31" t="str">
        <x:v>Instituto Nacional de Estadística, Censo de Población y Vivienda 2024</x:v>
      </x:c>
    </x:row>
    <x:row r="20" ht="20" customHeight="1">
      <x:c r="A20" s="31" t="str">
        <x:v>AP-1104</x:v>
      </x:c>
      <x:c r="B20" s="31" t="str">
        <x:v>Tariquía</x:v>
      </x:c>
      <x:c r="C20" s="31" t="n">
        <x:v>23</x:v>
      </x:c>
      <x:c r="D20" s="31" t="str">
        <x:v>Sí</x:v>
      </x:c>
      <x:c r="E20" s="31" t="str">
        <x:v>TARIJA</x:v>
      </x:c>
      <x:c r="F20" s="31" t="str">
        <x:v>ARCE, GRAN CHACO, AVILEZ, MÁS 1 PROVINCIAS</x:v>
      </x:c>
      <x:c r="G20" s="31" t="str">
        <x:v>PADCAYA, CARAPARÍ, URIONDO, MÁS 1</x:v>
      </x:c>
      <x:c r="H20" s="31" t="n">
        <x:v>2533</x:v>
      </x:c>
      <x:c r="I20" s="31" t="n">
        <x:v>1329</x:v>
      </x:c>
      <x:c r="J20" s="31" t="n">
        <x:v>1204</x:v>
      </x:c>
      <x:c r="K20" s="31" t="n">
        <x:v>769</x:v>
      </x:c>
      <x:c r="L20" s="31" t="n">
        <x:v>387</x:v>
      </x:c>
      <x:c r="M20" s="31" t="n">
        <x:v>382</x:v>
      </x:c>
      <x:c r="N20" s="31" t="n">
        <x:v>709</x:v>
      </x:c>
      <x:c r="O20" s="31" t="n">
        <x:v>377</x:v>
      </x:c>
      <x:c r="P20" s="31" t="n">
        <x:v>332</x:v>
      </x:c>
      <x:c r="Q20" s="31" t="n">
        <x:v>602</x:v>
      </x:c>
      <x:c r="R20" s="31" t="n">
        <x:v>312</x:v>
      </x:c>
      <x:c r="S20" s="31" t="n">
        <x:v>290</x:v>
      </x:c>
      <x:c r="T20" s="31" t="n">
        <x:v>453</x:v>
      </x:c>
      <x:c r="U20" s="31" t="n">
        <x:v>253</x:v>
      </x:c>
      <x:c r="V20" s="31" t="n">
        <x:v>200</x:v>
      </x:c>
      <x:c r="W20" s="31" t="n">
        <x:v>2533</x:v>
      </x:c>
      <x:c r="X20" s="31" t="n">
        <x:v>1329</x:v>
      </x:c>
      <x:c r="Y20" s="31" t="n">
        <x:v>1204</x:v>
      </x:c>
      <x:c r="Z20" s="31" t="n">
        <x:v>1992</x:v>
      </x:c>
      <x:c r="AA20" s="31" t="n">
        <x:v>1070</x:v>
      </x:c>
      <x:c r="AB20" s="31" t="n">
        <x:v>922</x:v>
      </x:c>
      <x:c r="AC20" s="31" t="n">
        <x:v>502</x:v>
      </x:c>
      <x:c r="AD20" s="31" t="n">
        <x:v>237</x:v>
      </x:c>
      <x:c r="AE20" s="31" t="n">
        <x:v>265</x:v>
      </x:c>
      <x:c r="AF20" s="31" t="n">
        <x:v>23</x:v>
      </x:c>
      <x:c r="AG20" s="31" t="n">
        <x:v>13</x:v>
      </x:c>
      <x:c r="AH20" s="31" t="n">
        <x:v>10</x:v>
      </x:c>
      <x:c r="AI20" s="31" t="n">
        <x:v>16</x:v>
      </x:c>
      <x:c r="AJ20" s="31" t="n">
        <x:v>9</x:v>
      </x:c>
      <x:c r="AK20" s="31" t="n">
        <x:v>7</x:v>
      </x:c>
      <x:c r="AL20" s="31" t="n">
        <x:v>2533</x:v>
      </x:c>
      <x:c r="AM20" s="31" t="n">
        <x:v>1329</x:v>
      </x:c>
      <x:c r="AN20" s="31" t="n">
        <x:v>1204</x:v>
      </x:c>
      <x:c r="AO20" s="31" t="n">
        <x:v>2452</x:v>
      </x:c>
      <x:c r="AP20" s="31" t="n">
        <x:v>1293</x:v>
      </x:c>
      <x:c r="AQ20" s="31" t="n">
        <x:v>1159</x:v>
      </x:c>
      <x:c r="AR20" s="31" t="n">
        <x:v>72</x:v>
      </x:c>
      <x:c r="AS20" s="31" t="n">
        <x:v>31</x:v>
      </x:c>
      <x:c r="AT20" s="31" t="n">
        <x:v>41</x:v>
      </x:c>
      <x:c r="AU20" s="31" t="n">
        <x:v>0</x:v>
      </x:c>
      <x:c r="AV20" s="31" t="n">
        <x:v>0</x:v>
      </x:c>
      <x:c r="AW20" s="31" t="n">
        <x:v>0</x:v>
      </x:c>
      <x:c r="AX20" s="31" t="n">
        <x:v>9</x:v>
      </x:c>
      <x:c r="AY20" s="31" t="n">
        <x:v>5</x:v>
      </x:c>
      <x:c r="AZ20" s="31" t="n">
        <x:v>4</x:v>
      </x:c>
      <x:c r="BA20" s="31" t="n">
        <x:v>1776</x:v>
      </x:c>
      <x:c r="BB20" s="31" t="n">
        <x:v>949</x:v>
      </x:c>
      <x:c r="BC20" s="31" t="n">
        <x:v>827</x:v>
      </x:c>
      <x:c r="BD20" s="31" t="n">
        <x:v>163</x:v>
      </x:c>
      <x:c r="BE20" s="31" t="n">
        <x:v>70</x:v>
      </x:c>
      <x:c r="BF20" s="31" t="n">
        <x:v>93</x:v>
      </x:c>
      <x:c r="BG20" s="31" t="n">
        <x:v>872</x:v>
      </x:c>
      <x:c r="BH20" s="31" t="n">
        <x:v>495</x:v>
      </x:c>
      <x:c r="BI20" s="31" t="n">
        <x:v>377</x:v>
      </x:c>
      <x:c r="BJ20" s="31" t="n">
        <x:v>504</x:v>
      </x:c>
      <x:c r="BK20" s="31" t="n">
        <x:v>270</x:v>
      </x:c>
      <x:c r="BL20" s="31" t="n">
        <x:v>234</x:v>
      </x:c>
      <x:c r="BM20" s="31" t="n">
        <x:v>224</x:v>
      </x:c>
      <x:c r="BN20" s="31" t="n">
        <x:v>110</x:v>
      </x:c>
      <x:c r="BO20" s="31" t="n">
        <x:v>114</x:v>
      </x:c>
      <x:c r="BP20" s="31" t="n">
        <x:v>13</x:v>
      </x:c>
      <x:c r="BQ20" s="31" t="n">
        <x:v>4</x:v>
      </x:c>
      <x:c r="BR20" s="31" t="n">
        <x:v>9</x:v>
      </x:c>
      <x:c r="BS20" s="31" t="n">
        <x:v>1476</x:v>
      </x:c>
      <x:c r="BT20" s="31" t="n">
        <x:v>887</x:v>
      </x:c>
      <x:c r="BU20" s="31" t="n">
        <x:v>589</x:v>
      </x:c>
      <x:c r="BV20" s="31" t="n">
        <x:v>140</x:v>
      </x:c>
      <x:c r="BW20" s="31" t="n">
        <x:v>91</x:v>
      </x:c>
      <x:c r="BX20" s="31" t="n">
        <x:v>49</x:v>
      </x:c>
      <x:c r="BY20" s="31" t="n">
        <x:v>718</x:v>
      </x:c>
      <x:c r="BZ20" s="31" t="n">
        <x:v>486</x:v>
      </x:c>
      <x:c r="CA20" s="31" t="n">
        <x:v>232</x:v>
      </x:c>
      <x:c r="CB20" s="31" t="n">
        <x:v>395</x:v>
      </x:c>
      <x:c r="CC20" s="31" t="n">
        <x:v>136</x:v>
      </x:c>
      <x:c r="CD20" s="31" t="n">
        <x:v>259</x:v>
      </x:c>
      <x:c r="CE20" s="31" t="n">
        <x:v>223</x:v>
      </x:c>
      <x:c r="CF20" s="31" t="n">
        <x:v>174</x:v>
      </x:c>
      <x:c r="CG20" s="31" t="n">
        <x:v>49</x:v>
      </x:c>
      <x:c r="CH20" s="31" t="n">
        <x:v>2533</x:v>
      </x:c>
      <x:c r="CI20" s="31" t="n">
        <x:v>1329</x:v>
      </x:c>
      <x:c r="CJ20" s="31" t="n">
        <x:v>1204</x:v>
      </x:c>
      <x:c r="CK20" s="31" t="n">
        <x:v>2382</x:v>
      </x:c>
      <x:c r="CL20" s="31" t="n">
        <x:v>1244</x:v>
      </x:c>
      <x:c r="CM20" s="31" t="n">
        <x:v>1138</x:v>
      </x:c>
      <x:c r="CN20" s="31" t="n">
        <x:v>145</x:v>
      </x:c>
      <x:c r="CO20" s="31" t="n">
        <x:v>60</x:v>
      </x:c>
      <x:c r="CP20" s="31" t="n">
        <x:v>85</x:v>
      </x:c>
      <x:c r="CQ20" s="31" t="n">
        <x:v>404</x:v>
      </x:c>
      <x:c r="CR20" s="31" t="n">
        <x:v>194</x:v>
      </x:c>
      <x:c r="CS20" s="31" t="n">
        <x:v>210</x:v>
      </x:c>
      <x:c r="CT20" s="31" t="n">
        <x:v>667</x:v>
      </x:c>
      <x:c r="CU20" s="31" t="n">
        <x:v>336</x:v>
      </x:c>
      <x:c r="CV20" s="31" t="n">
        <x:v>331</x:v>
      </x:c>
      <x:c r="CW20" s="31" t="n">
        <x:v>1067</x:v>
      </x:c>
      <x:c r="CX20" s="31" t="n">
        <x:v>559</x:v>
      </x:c>
      <x:c r="CY20" s="31" t="n">
        <x:v>508</x:v>
      </x:c>
      <x:c r="CZ20" s="31" t="n">
        <x:v>809</x:v>
      </x:c>
      <x:c r="DA20" s="31" t="n">
        <x:v>414</x:v>
      </x:c>
      <x:c r="DB20" s="31" t="n">
        <x:v>395</x:v>
      </x:c>
      <x:c r="DC20" s="31" t="n">
        <x:v>2031</x:v>
      </x:c>
      <x:c r="DD20" s="31" t="n">
        <x:v>1069</x:v>
      </x:c>
      <x:c r="DE20" s="31" t="n">
        <x:v>962</x:v>
      </x:c>
      <x:c r="DF20" s="31" t="n">
        <x:v>1476</x:v>
      </x:c>
      <x:c r="DG20" s="31" t="n">
        <x:v>887</x:v>
      </x:c>
      <x:c r="DH20" s="31" t="n">
        <x:v>589</x:v>
      </x:c>
      <x:c r="DI20" s="31" t="n">
        <x:v>1244</x:v>
      </x:c>
      <x:c r="DJ20" s="31" t="n">
        <x:v>785</x:v>
      </x:c>
      <x:c r="DK20" s="31" t="n">
        <x:v>459</x:v>
      </x:c>
      <x:c r="DL20" s="31" t="n">
        <x:v>34</x:v>
      </x:c>
      <x:c r="DM20" s="31" t="n">
        <x:v>14</x:v>
      </x:c>
      <x:c r="DN20" s="31" t="n">
        <x:v>20</x:v>
      </x:c>
      <x:c r="DO20" s="31" t="n">
        <x:v>14</x:v>
      </x:c>
      <x:c r="DP20" s="31" t="n">
        <x:v>8</x:v>
      </x:c>
      <x:c r="DQ20" s="31" t="n">
        <x:v>6</x:v>
      </x:c>
      <x:c r="DR20" s="31" t="n">
        <x:v>33</x:v>
      </x:c>
      <x:c r="DS20" s="31" t="n">
        <x:v>32</x:v>
      </x:c>
      <x:c r="DT20" s="31" t="n">
        <x:v>1</x:v>
      </x:c>
      <x:c r="DU20" s="31" t="n">
        <x:v>7</x:v>
      </x:c>
      <x:c r="DV20" s="31" t="n">
        <x:v>6</x:v>
      </x:c>
      <x:c r="DW20" s="31" t="n">
        <x:v>1</x:v>
      </x:c>
      <x:c r="DX20" s="31" t="n">
        <x:v>11</x:v>
      </x:c>
      <x:c r="DY20" s="31" t="n">
        <x:v>1</x:v>
      </x:c>
      <x:c r="DZ20" s="31" t="n">
        <x:v>10</x:v>
      </x:c>
      <x:c r="EA20" s="31" t="n">
        <x:v>31</x:v>
      </x:c>
      <x:c r="EB20" s="31" t="n">
        <x:v>14</x:v>
      </x:c>
      <x:c r="EC20" s="31" t="n">
        <x:v>17</x:v>
      </x:c>
      <x:c r="ED20" s="31" t="n">
        <x:v>29</x:v>
      </x:c>
      <x:c r="EE20" s="31" t="n">
        <x:v>11</x:v>
      </x:c>
      <x:c r="EF20" s="31" t="n">
        <x:v>18</x:v>
      </x:c>
      <x:c r="EG20" s="31" t="n">
        <x:v>37</x:v>
      </x:c>
      <x:c r="EH20" s="31" t="n">
        <x:v>14</x:v>
      </x:c>
      <x:c r="EI20" s="31" t="n">
        <x:v>23</x:v>
      </x:c>
      <x:c r="EJ20" s="31" t="n">
        <x:v>36</x:v>
      </x:c>
      <x:c r="EK20" s="31" t="n">
        <x:v>2</x:v>
      </x:c>
      <x:c r="EL20" s="31" t="n">
        <x:v>34</x:v>
      </x:c>
      <x:c r="EM20" s="31" t="n">
        <x:v>2524</x:v>
      </x:c>
      <x:c r="EN20" s="31" t="n">
        <x:v>1324</x:v>
      </x:c>
      <x:c r="EO20" s="31" t="n">
        <x:v>1200</x:v>
      </x:c>
      <x:c r="EP20" s="31" t="n">
        <x:v>2214</x:v>
      </x:c>
      <x:c r="EQ20" s="31" t="n">
        <x:v>1152</x:v>
      </x:c>
      <x:c r="ER20" s="31" t="n">
        <x:v>1062</x:v>
      </x:c>
      <x:c r="ES20" s="31" t="n">
        <x:v>130</x:v>
      </x:c>
      <x:c r="ET20" s="31" t="n">
        <x:v>60</x:v>
      </x:c>
      <x:c r="EU20" s="31" t="n">
        <x:v>70</x:v>
      </x:c>
      <x:c r="EV20" s="31" t="n">
        <x:v>8</x:v>
      </x:c>
      <x:c r="EW20" s="31" t="n">
        <x:v>1</x:v>
      </x:c>
      <x:c r="EX20" s="31" t="n">
        <x:v>7</x:v>
      </x:c>
      <x:c r="EY20" s="31" t="n">
        <x:v>144</x:v>
      </x:c>
      <x:c r="EZ20" s="31" t="n">
        <x:v>93</x:v>
      </x:c>
      <x:c r="FA20" s="31" t="n">
        <x:v>51</x:v>
      </x:c>
      <x:c r="FB20" s="31" t="n">
        <x:v>28</x:v>
      </x:c>
      <x:c r="FC20" s="31" t="n">
        <x:v>18</x:v>
      </x:c>
      <x:c r="FD20" s="31" t="n">
        <x:v>10</x:v>
      </x:c>
      <x:c r="FE20" s="31" t="n">
        <x:v>1096</x:v>
      </x:c>
      <x:c r="FF20" s="31" t="n">
        <x:v>1094</x:v>
      </x:c>
      <x:c r="FG20" s="31" t="n">
        <x:v>815</x:v>
      </x:c>
      <x:c r="FH20" s="31" t="n">
        <x:v>168</x:v>
      </x:c>
      <x:c r="FI20" s="31" t="n">
        <x:v>111</x:v>
      </x:c>
      <x:c r="FJ20" s="31" t="n">
        <x:v>2</x:v>
      </x:c>
      <x:c r="FK20" s="31" t="n">
        <x:v>815</x:v>
      </x:c>
      <x:c r="FL20" s="31" t="n">
        <x:v>760</x:v>
      </x:c>
      <x:c r="FM20" s="31" t="n">
        <x:v>11</x:v>
      </x:c>
      <x:c r="FN20" s="31" t="n">
        <x:v>1</x:v>
      </x:c>
      <x:c r="FO20" s="31" t="n">
        <x:v>40</x:v>
      </x:c>
      <x:c r="FP20" s="31" t="n">
        <x:v>3</x:v>
      </x:c>
      <x:c r="FQ20" s="31" t="n">
        <x:v>815</x:v>
      </x:c>
      <x:c r="FR20" s="31" t="n">
        <x:v>580</x:v>
      </x:c>
      <x:c r="FS20" s="31" t="n">
        <x:v>4</x:v>
      </x:c>
      <x:c r="FT20" s="31" t="n">
        <x:v>108</x:v>
      </x:c>
      <x:c r="FU20" s="31" t="n">
        <x:v>1</x:v>
      </x:c>
      <x:c r="FV20" s="31" t="n">
        <x:v>122</x:v>
      </x:c>
      <x:c r="FW20" s="31" t="n">
        <x:v>815</x:v>
      </x:c>
      <x:c r="FX20" s="31" t="n">
        <x:v>571</x:v>
      </x:c>
      <x:c r="FY20" s="31" t="n">
        <x:v>24</x:v>
      </x:c>
      <x:c r="FZ20" s="31" t="n">
        <x:v>0</x:v>
      </x:c>
      <x:c r="GA20" s="31" t="n">
        <x:v>1</x:v>
      </x:c>
      <x:c r="GB20" s="31" t="n">
        <x:v>6</x:v>
      </x:c>
      <x:c r="GC20" s="31" t="n">
        <x:v>158</x:v>
      </x:c>
      <x:c r="GD20" s="31" t="n">
        <x:v>32</x:v>
      </x:c>
      <x:c r="GE20" s="31" t="n">
        <x:v>18</x:v>
      </x:c>
      <x:c r="GF20" s="31" t="n">
        <x:v>5</x:v>
      </x:c>
      <x:c r="GG20" s="31" t="n">
        <x:v>815</x:v>
      </x:c>
      <x:c r="GH20" s="31" t="n">
        <x:v>26</x:v>
      </x:c>
      <x:c r="GI20" s="31" t="n">
        <x:v>48</x:v>
      </x:c>
      <x:c r="GJ20" s="31" t="n">
        <x:v>301</x:v>
      </x:c>
      <x:c r="GK20" s="31" t="n">
        <x:v>1</x:v>
      </x:c>
      <x:c r="GL20" s="31" t="n">
        <x:v>74</x:v>
      </x:c>
      <x:c r="GM20" s="31" t="n">
        <x:v>4</x:v>
      </x:c>
      <x:c r="GN20" s="31" t="n">
        <x:v>361</x:v>
      </x:c>
      <x:c r="GO20" s="31" t="n">
        <x:v>815</x:v>
      </x:c>
      <x:c r="GP20" s="31" t="n">
        <x:v>160</x:v>
      </x:c>
      <x:c r="GQ20" s="31" t="n">
        <x:v>4</x:v>
      </x:c>
      <x:c r="GR20" s="31" t="n">
        <x:v>648</x:v>
      </x:c>
      <x:c r="GS20" s="31" t="n">
        <x:v>1</x:v>
      </x:c>
      <x:c r="GT20" s="31" t="n">
        <x:v>0</x:v>
      </x:c>
      <x:c r="GU20" s="31" t="n">
        <x:v>0</x:v>
      </x:c>
      <x:c r="GV20" s="31" t="n">
        <x:v>0</x:v>
      </x:c>
      <x:c r="GW20" s="31" t="n">
        <x:v>2</x:v>
      </x:c>
      <x:c r="GX20" s="31" t="n">
        <x:v>815</x:v>
      </x:c>
      <x:c r="GY20" s="31" t="n">
        <x:v>4</x:v>
      </x:c>
      <x:c r="GZ20" s="31" t="n">
        <x:v>5</x:v>
      </x:c>
      <x:c r="HA20" s="31" t="n">
        <x:v>55</x:v>
      </x:c>
      <x:c r="HB20" s="31" t="n">
        <x:v>5</x:v>
      </x:c>
      <x:c r="HC20" s="31" t="n">
        <x:v>641</x:v>
      </x:c>
      <x:c r="HD20" s="31" t="n">
        <x:v>90</x:v>
      </x:c>
      <x:c r="HE20" s="31" t="n">
        <x:v>15</x:v>
      </x:c>
      <x:c r="HF20" s="31" t="n">
        <x:v>815</x:v>
      </x:c>
      <x:c r="HG20" s="31" t="n">
        <x:v>411</x:v>
      </x:c>
      <x:c r="HH20" s="31" t="n">
        <x:v>285</x:v>
      </x:c>
      <x:c r="HI20" s="31" t="n">
        <x:v>690</x:v>
      </x:c>
      <x:c r="HJ20" s="31" t="n">
        <x:v>538</x:v>
      </x:c>
      <x:c r="HK20" s="31" t="str">
        <x:v>Ficha_INE_Tariquia.pdf</x:v>
      </x:c>
      <x:c r="HL20" s="31" t="str">
        <x:v>Instituto Nacional de Estadística, Censo de Población y Vivienda 2024</x:v>
      </x:c>
    </x:row>
    <x:row r="21" ht="20" customHeight="1">
      <x:c r="A21" s="31" t="str">
        <x:v>AP-0604</x:v>
      </x:c>
      <x:c r="B21" s="31" t="str">
        <x:v>Manuripi</x:v>
      </x:c>
      <x:c r="C21" s="31" t="n">
        <x:v>12</x:v>
      </x:c>
      <x:c r="D21" s="31" t="str">
        <x:v>Sí</x:v>
      </x:c>
      <x:c r="E21" s="31" t="str">
        <x:v>PANDO</x:v>
      </x:c>
      <x:c r="F21" s="31" t="str">
        <x:v>MANURIPI</x:v>
      </x:c>
      <x:c r="G21" s="31" t="str">
        <x:v>PUERTO RICO, FILADELFIA</x:v>
      </x:c>
      <x:c r="H21" s="31" t="n">
        <x:v>1793</x:v>
      </x:c>
      <x:c r="I21" s="31" t="n">
        <x:v>1034</x:v>
      </x:c>
      <x:c r="J21" s="31" t="n">
        <x:v>759</x:v>
      </x:c>
      <x:c r="K21" s="31" t="n">
        <x:v>698</x:v>
      </x:c>
      <x:c r="L21" s="31" t="n">
        <x:v>360</x:v>
      </x:c>
      <x:c r="M21" s="31" t="n">
        <x:v>338</x:v>
      </x:c>
      <x:c r="N21" s="31" t="n">
        <x:v>673</x:v>
      </x:c>
      <x:c r="O21" s="31" t="n">
        <x:v>398</x:v>
      </x:c>
      <x:c r="P21" s="31" t="n">
        <x:v>275</x:v>
      </x:c>
      <x:c r="Q21" s="31" t="n">
        <x:v>323</x:v>
      </x:c>
      <x:c r="R21" s="31" t="n">
        <x:v>211</x:v>
      </x:c>
      <x:c r="S21" s="31" t="n">
        <x:v>112</x:v>
      </x:c>
      <x:c r="T21" s="31" t="n">
        <x:v>99</x:v>
      </x:c>
      <x:c r="U21" s="31" t="n">
        <x:v>65</x:v>
      </x:c>
      <x:c r="V21" s="31" t="n">
        <x:v>34</x:v>
      </x:c>
      <x:c r="W21" s="31" t="n">
        <x:v>1793</x:v>
      </x:c>
      <x:c r="X21" s="31" t="n">
        <x:v>1034</x:v>
      </x:c>
      <x:c r="Y21" s="31" t="n">
        <x:v>759</x:v>
      </x:c>
      <x:c r="Z21" s="31" t="n">
        <x:v>533</x:v>
      </x:c>
      <x:c r="AA21" s="31" t="n">
        <x:v>311</x:v>
      </x:c>
      <x:c r="AB21" s="31" t="n">
        <x:v>222</x:v>
      </x:c>
      <x:c r="AC21" s="31" t="n">
        <x:v>1200</x:v>
      </x:c>
      <x:c r="AD21" s="31" t="n">
        <x:v>691</x:v>
      </x:c>
      <x:c r="AE21" s="31" t="n">
        <x:v>509</x:v>
      </x:c>
      <x:c r="AF21" s="31" t="n">
        <x:v>30</x:v>
      </x:c>
      <x:c r="AG21" s="31" t="n">
        <x:v>18</x:v>
      </x:c>
      <x:c r="AH21" s="31" t="n">
        <x:v>12</x:v>
      </x:c>
      <x:c r="AI21" s="31" t="n">
        <x:v>30</x:v>
      </x:c>
      <x:c r="AJ21" s="31" t="n">
        <x:v>14</x:v>
      </x:c>
      <x:c r="AK21" s="31" t="n">
        <x:v>16</x:v>
      </x:c>
      <x:c r="AL21" s="31" t="n">
        <x:v>1793</x:v>
      </x:c>
      <x:c r="AM21" s="31" t="n">
        <x:v>1034</x:v>
      </x:c>
      <x:c r="AN21" s="31" t="n">
        <x:v>759</x:v>
      </x:c>
      <x:c r="AO21" s="31" t="n">
        <x:v>1474</x:v>
      </x:c>
      <x:c r="AP21" s="31" t="n">
        <x:v>828</x:v>
      </x:c>
      <x:c r="AQ21" s="31" t="n">
        <x:v>646</x:v>
      </x:c>
      <x:c r="AR21" s="31" t="n">
        <x:v>285</x:v>
      </x:c>
      <x:c r="AS21" s="31" t="n">
        <x:v>189</x:v>
      </x:c>
      <x:c r="AT21" s="31" t="n">
        <x:v>96</x:v>
      </x:c>
      <x:c r="AU21" s="31" t="n">
        <x:v>8</x:v>
      </x:c>
      <x:c r="AV21" s="31" t="n">
        <x:v>3</x:v>
      </x:c>
      <x:c r="AW21" s="31" t="n">
        <x:v>5</x:v>
      </x:c>
      <x:c r="AX21" s="31" t="n">
        <x:v>26</x:v>
      </x:c>
      <x:c r="AY21" s="31" t="n">
        <x:v>14</x:v>
      </x:c>
      <x:c r="AZ21" s="31" t="n">
        <x:v>12</x:v>
      </x:c>
      <x:c r="BA21" s="31" t="n">
        <x:v>1096</x:v>
      </x:c>
      <x:c r="BB21" s="31" t="n">
        <x:v>671</x:v>
      </x:c>
      <x:c r="BC21" s="31" t="n">
        <x:v>425</x:v>
      </x:c>
      <x:c r="BD21" s="31" t="n">
        <x:v>30</x:v>
      </x:c>
      <x:c r="BE21" s="31" t="n">
        <x:v>15</x:v>
      </x:c>
      <x:c r="BF21" s="31" t="n">
        <x:v>15</x:v>
      </x:c>
      <x:c r="BG21" s="31" t="n">
        <x:v>266</x:v>
      </x:c>
      <x:c r="BH21" s="31" t="n">
        <x:v>161</x:v>
      </x:c>
      <x:c r="BI21" s="31" t="n">
        <x:v>105</x:v>
      </x:c>
      <x:c r="BJ21" s="31" t="n">
        <x:v>707</x:v>
      </x:c>
      <x:c r="BK21" s="31" t="n">
        <x:v>449</x:v>
      </x:c>
      <x:c r="BL21" s="31" t="n">
        <x:v>258</x:v>
      </x:c>
      <x:c r="BM21" s="31" t="n">
        <x:v>93</x:v>
      </x:c>
      <x:c r="BN21" s="31" t="n">
        <x:v>46</x:v>
      </x:c>
      <x:c r="BO21" s="31" t="n">
        <x:v>47</x:v>
      </x:c>
      <x:c r="BP21" s="31" t="n">
        <x:v>0</x:v>
      </x:c>
      <x:c r="BQ21" s="31" t="n">
        <x:v>0</x:v>
      </x:c>
      <x:c r="BR21" s="31" t="n">
        <x:v>0</x:v>
      </x:c>
      <x:c r="BS21" s="31" t="n">
        <x:v>887</x:v>
      </x:c>
      <x:c r="BT21" s="31" t="n">
        <x:v>651</x:v>
      </x:c>
      <x:c r="BU21" s="31" t="n">
        <x:v>236</x:v>
      </x:c>
      <x:c r="BV21" s="31" t="n">
        <x:v>253</x:v>
      </x:c>
      <x:c r="BW21" s="31" t="n">
        <x:v>210</x:v>
      </x:c>
      <x:c r="BX21" s="31" t="n">
        <x:v>43</x:v>
      </x:c>
      <x:c r="BY21" s="31" t="n">
        <x:v>464</x:v>
      </x:c>
      <x:c r="BZ21" s="31" t="n">
        <x:v>348</x:v>
      </x:c>
      <x:c r="CA21" s="31" t="n">
        <x:v>116</x:v>
      </x:c>
      <x:c r="CB21" s="31" t="n">
        <x:v>73</x:v>
      </x:c>
      <x:c r="CC21" s="31" t="n">
        <x:v>28</x:v>
      </x:c>
      <x:c r="CD21" s="31" t="n">
        <x:v>45</x:v>
      </x:c>
      <x:c r="CE21" s="31" t="n">
        <x:v>97</x:v>
      </x:c>
      <x:c r="CF21" s="31" t="n">
        <x:v>65</x:v>
      </x:c>
      <x:c r="CG21" s="31" t="n">
        <x:v>32</x:v>
      </x:c>
      <x:c r="CH21" s="31" t="n">
        <x:v>1793</x:v>
      </x:c>
      <x:c r="CI21" s="31" t="n">
        <x:v>1034</x:v>
      </x:c>
      <x:c r="CJ21" s="31" t="n">
        <x:v>759</x:v>
      </x:c>
      <x:c r="CK21" s="31" t="n">
        <x:v>1502</x:v>
      </x:c>
      <x:c r="CL21" s="31" t="n">
        <x:v>845</x:v>
      </x:c>
      <x:c r="CM21" s="31" t="n">
        <x:v>657</x:v>
      </x:c>
      <x:c r="CN21" s="31" t="n">
        <x:v>159</x:v>
      </x:c>
      <x:c r="CO21" s="31" t="n">
        <x:v>97</x:v>
      </x:c>
      <x:c r="CP21" s="31" t="n">
        <x:v>62</x:v>
      </x:c>
      <x:c r="CQ21" s="31" t="n">
        <x:v>139</x:v>
      </x:c>
      <x:c r="CR21" s="31" t="n">
        <x:v>79</x:v>
      </x:c>
      <x:c r="CS21" s="31" t="n">
        <x:v>60</x:v>
      </x:c>
      <x:c r="CT21" s="31" t="n">
        <x:v>240</x:v>
      </x:c>
      <x:c r="CU21" s="31" t="n">
        <x:v>141</x:v>
      </x:c>
      <x:c r="CV21" s="31" t="n">
        <x:v>99</x:v>
      </x:c>
      <x:c r="CW21" s="31" t="n">
        <x:v>310</x:v>
      </x:c>
      <x:c r="CX21" s="31" t="n">
        <x:v>177</x:v>
      </x:c>
      <x:c r="CY21" s="31" t="n">
        <x:v>133</x:v>
      </x:c>
      <x:c r="CZ21" s="31" t="n">
        <x:v>599</x:v>
      </x:c>
      <x:c r="DA21" s="31" t="n">
        <x:v>347</x:v>
      </x:c>
      <x:c r="DB21" s="31" t="n">
        <x:v>252</x:v>
      </x:c>
      <x:c r="DC21" s="31" t="n">
        <x:v>1343</x:v>
      </x:c>
      <x:c r="DD21" s="31" t="n">
        <x:v>767</x:v>
      </x:c>
      <x:c r="DE21" s="31" t="n">
        <x:v>576</x:v>
      </x:c>
      <x:c r="DF21" s="31" t="n">
        <x:v>887</x:v>
      </x:c>
      <x:c r="DG21" s="31" t="n">
        <x:v>651</x:v>
      </x:c>
      <x:c r="DH21" s="31" t="n">
        <x:v>236</x:v>
      </x:c>
      <x:c r="DI21" s="31" t="n">
        <x:v>534</x:v>
      </x:c>
      <x:c r="DJ21" s="31" t="n">
        <x:v>411</x:v>
      </x:c>
      <x:c r="DK21" s="31" t="n">
        <x:v>123</x:v>
      </x:c>
      <x:c r="DL21" s="31" t="n">
        <x:v>50</x:v>
      </x:c>
      <x:c r="DM21" s="31" t="n">
        <x:v>29</x:v>
      </x:c>
      <x:c r="DN21" s="31" t="n">
        <x:v>21</x:v>
      </x:c>
      <x:c r="DO21" s="31" t="n">
        <x:v>36</x:v>
      </x:c>
      <x:c r="DP21" s="31" t="n">
        <x:v>25</x:v>
      </x:c>
      <x:c r="DQ21" s="31" t="n">
        <x:v>11</x:v>
      </x:c>
      <x:c r="DR21" s="31" t="n">
        <x:v>55</x:v>
      </x:c>
      <x:c r="DS21" s="31" t="n">
        <x:v>54</x:v>
      </x:c>
      <x:c r="DT21" s="31" t="n">
        <x:v>1</x:v>
      </x:c>
      <x:c r="DU21" s="31" t="n">
        <x:v>29</x:v>
      </x:c>
      <x:c r="DV21" s="31" t="n">
        <x:v>28</x:v>
      </x:c>
      <x:c r="DW21" s="31" t="n">
        <x:v>1</x:v>
      </x:c>
      <x:c r="DX21" s="31" t="n">
        <x:v>33</x:v>
      </x:c>
      <x:c r="DY21" s="31" t="n">
        <x:v>1</x:v>
      </x:c>
      <x:c r="DZ21" s="31" t="n">
        <x:v>32</x:v>
      </x:c>
      <x:c r="EA21" s="31" t="n">
        <x:v>19</x:v>
      </x:c>
      <x:c r="EB21" s="31" t="n">
        <x:v>9</x:v>
      </x:c>
      <x:c r="EC21" s="31" t="n">
        <x:v>10</x:v>
      </x:c>
      <x:c r="ED21" s="31" t="n">
        <x:v>7</x:v>
      </x:c>
      <x:c r="EE21" s="31" t="n">
        <x:v>1</x:v>
      </x:c>
      <x:c r="EF21" s="31" t="n">
        <x:v>6</x:v>
      </x:c>
      <x:c r="EG21" s="31" t="n">
        <x:v>101</x:v>
      </x:c>
      <x:c r="EH21" s="31" t="n">
        <x:v>82</x:v>
      </x:c>
      <x:c r="EI21" s="31" t="n">
        <x:v>19</x:v>
      </x:c>
      <x:c r="EJ21" s="31" t="n">
        <x:v>23</x:v>
      </x:c>
      <x:c r="EK21" s="31" t="n">
        <x:v>11</x:v>
      </x:c>
      <x:c r="EL21" s="31" t="n">
        <x:v>12</x:v>
      </x:c>
      <x:c r="EM21" s="31" t="n">
        <x:v>1759</x:v>
      </x:c>
      <x:c r="EN21" s="31" t="n">
        <x:v>1017</x:v>
      </x:c>
      <x:c r="EO21" s="31" t="n">
        <x:v>742</x:v>
      </x:c>
      <x:c r="EP21" s="31" t="n">
        <x:v>1449</x:v>
      </x:c>
      <x:c r="EQ21" s="31" t="n">
        <x:v>802</x:v>
      </x:c>
      <x:c r="ER21" s="31" t="n">
        <x:v>647</x:v>
      </x:c>
      <x:c r="ES21" s="31" t="n">
        <x:v>83</x:v>
      </x:c>
      <x:c r="ET21" s="31" t="n">
        <x:v>45</x:v>
      </x:c>
      <x:c r="EU21" s="31" t="n">
        <x:v>38</x:v>
      </x:c>
      <x:c r="EV21" s="31" t="n">
        <x:v>2</x:v>
      </x:c>
      <x:c r="EW21" s="31" t="n">
        <x:v>2</x:v>
      </x:c>
      <x:c r="EX21" s="31" t="n">
        <x:v>0</x:v>
      </x:c>
      <x:c r="EY21" s="31" t="n">
        <x:v>169</x:v>
      </x:c>
      <x:c r="EZ21" s="31" t="n">
        <x:v>128</x:v>
      </x:c>
      <x:c r="FA21" s="31" t="n">
        <x:v>41</x:v>
      </x:c>
      <x:c r="FB21" s="31" t="n">
        <x:v>56</x:v>
      </x:c>
      <x:c r="FC21" s="31" t="n">
        <x:v>40</x:v>
      </x:c>
      <x:c r="FD21" s="31" t="n">
        <x:v>16</x:v>
      </x:c>
      <x:c r="FE21" s="31" t="n">
        <x:v>634</x:v>
      </x:c>
      <x:c r="FF21" s="31" t="n">
        <x:v>624</x:v>
      </x:c>
      <x:c r="FG21" s="31" t="n">
        <x:v>572</x:v>
      </x:c>
      <x:c r="FH21" s="31" t="n">
        <x:v>9</x:v>
      </x:c>
      <x:c r="FI21" s="31" t="n">
        <x:v>43</x:v>
      </x:c>
      <x:c r="FJ21" s="31" t="n">
        <x:v>10</x:v>
      </x:c>
      <x:c r="FK21" s="31" t="n">
        <x:v>572</x:v>
      </x:c>
      <x:c r="FL21" s="31" t="n">
        <x:v>385</x:v>
      </x:c>
      <x:c r="FM21" s="31" t="n">
        <x:v>7</x:v>
      </x:c>
      <x:c r="FN21" s="31" t="n">
        <x:v>0</x:v>
      </x:c>
      <x:c r="FO21" s="31" t="n">
        <x:v>176</x:v>
      </x:c>
      <x:c r="FP21" s="31" t="n">
        <x:v>4</x:v>
      </x:c>
      <x:c r="FQ21" s="31" t="n">
        <x:v>572</x:v>
      </x:c>
      <x:c r="FR21" s="31" t="n">
        <x:v>238</x:v>
      </x:c>
      <x:c r="FS21" s="31" t="n">
        <x:v>157</x:v>
      </x:c>
      <x:c r="FT21" s="31" t="n">
        <x:v>41</x:v>
      </x:c>
      <x:c r="FU21" s="31" t="n">
        <x:v>11</x:v>
      </x:c>
      <x:c r="FV21" s="31" t="n">
        <x:v>125</x:v>
      </x:c>
      <x:c r="FW21" s="31" t="n">
        <x:v>572</x:v>
      </x:c>
      <x:c r="FX21" s="31" t="n">
        <x:v>98</x:v>
      </x:c>
      <x:c r="FY21" s="31" t="n">
        <x:v>99</x:v>
      </x:c>
      <x:c r="FZ21" s="31" t="n">
        <x:v>3</x:v>
      </x:c>
      <x:c r="GA21" s="31" t="n">
        <x:v>49</x:v>
      </x:c>
      <x:c r="GB21" s="31" t="n">
        <x:v>108</x:v>
      </x:c>
      <x:c r="GC21" s="31" t="n">
        <x:v>108</x:v>
      </x:c>
      <x:c r="GD21" s="31" t="n">
        <x:v>82</x:v>
      </x:c>
      <x:c r="GE21" s="31" t="n">
        <x:v>4</x:v>
      </x:c>
      <x:c r="GF21" s="31" t="n">
        <x:v>21</x:v>
      </x:c>
      <x:c r="GG21" s="31" t="n">
        <x:v>572</x:v>
      </x:c>
      <x:c r="GH21" s="31" t="n">
        <x:v>12</x:v>
      </x:c>
      <x:c r="GI21" s="31" t="n">
        <x:v>52</x:v>
      </x:c>
      <x:c r="GJ21" s="31" t="n">
        <x:v>305</x:v>
      </x:c>
      <x:c r="GK21" s="31" t="n">
        <x:v>6</x:v>
      </x:c>
      <x:c r="GL21" s="31" t="n">
        <x:v>107</x:v>
      </x:c>
      <x:c r="GM21" s="31" t="n">
        <x:v>61</x:v>
      </x:c>
      <x:c r="GN21" s="31" t="n">
        <x:v>29</x:v>
      </x:c>
      <x:c r="GO21" s="31" t="n">
        <x:v>572</x:v>
      </x:c>
      <x:c r="GP21" s="31" t="n">
        <x:v>371</x:v>
      </x:c>
      <x:c r="GQ21" s="31" t="n">
        <x:v>1</x:v>
      </x:c>
      <x:c r="GR21" s="31" t="n">
        <x:v>190</x:v>
      </x:c>
      <x:c r="GS21" s="31" t="n">
        <x:v>1</x:v>
      </x:c>
      <x:c r="GT21" s="31" t="n">
        <x:v>1</x:v>
      </x:c>
      <x:c r="GU21" s="31" t="n">
        <x:v>0</x:v>
      </x:c>
      <x:c r="GV21" s="31" t="n">
        <x:v>0</x:v>
      </x:c>
      <x:c r="GW21" s="31" t="n">
        <x:v>8</x:v>
      </x:c>
      <x:c r="GX21" s="31" t="n">
        <x:v>572</x:v>
      </x:c>
      <x:c r="GY21" s="31" t="n">
        <x:v>32</x:v>
      </x:c>
      <x:c r="GZ21" s="31" t="n">
        <x:v>3</x:v>
      </x:c>
      <x:c r="HA21" s="31" t="n">
        <x:v>42</x:v>
      </x:c>
      <x:c r="HB21" s="31" t="n">
        <x:v>1</x:v>
      </x:c>
      <x:c r="HC21" s="31" t="n">
        <x:v>248</x:v>
      </x:c>
      <x:c r="HD21" s="31" t="n">
        <x:v>239</x:v>
      </x:c>
      <x:c r="HE21" s="31" t="n">
        <x:v>7</x:v>
      </x:c>
      <x:c r="HF21" s="31" t="n">
        <x:v>572</x:v>
      </x:c>
      <x:c r="HG21" s="31" t="n">
        <x:v>199</x:v>
      </x:c>
      <x:c r="HH21" s="31" t="n">
        <x:v>243</x:v>
      </x:c>
      <x:c r="HI21" s="31" t="n">
        <x:v>431</x:v>
      </x:c>
      <x:c r="HJ21" s="31" t="n">
        <x:v>302</x:v>
      </x:c>
      <x:c r="HK21" s="31" t="str">
        <x:v>Ficha_INE_Manuripi.pdf</x:v>
      </x:c>
      <x:c r="HL21" s="31" t="str">
        <x:v>Instituto Nacional de Estadística, Censo de Población y Vivienda 2024</x:v>
      </x:c>
    </x:row>
    <x:row r="22" ht="20" customHeight="1">
      <x:c r="A22" s="31" t="str">
        <x:v>AP-0805</x:v>
      </x:c>
      <x:c r="B22" s="31" t="str">
        <x:v>Estación Biológica del Beni</x:v>
      </x:c>
      <x:c r="C22" s="31" t="n">
        <x:v>1</x:v>
      </x:c>
      <x:c r="D22" s="31" t="str">
        <x:v>Sí</x:v>
      </x:c>
      <x:c r="E22" s="31" t="str">
        <x:v>BENI</x:v>
      </x:c>
      <x:c r="F22" s="31" t="str">
        <x:v>GENERAL JOSÉ BALLIVIÁN, YACUMA</x:v>
      </x:c>
      <x:c r="G22" s="31" t="str">
        <x:v>SAN BORJA, SANTA ANA</x:v>
      </x:c>
      <x:c r="H22" s="31" t="n">
        <x:v>1720</x:v>
      </x:c>
      <x:c r="I22" s="31" t="n">
        <x:v>904</x:v>
      </x:c>
      <x:c r="J22" s="31" t="n">
        <x:v>816</x:v>
      </x:c>
      <x:c r="K22" s="31" t="n">
        <x:v>1065</x:v>
      </x:c>
      <x:c r="L22" s="31" t="n">
        <x:v>553</x:v>
      </x:c>
      <x:c r="M22" s="31" t="n">
        <x:v>512</x:v>
      </x:c>
      <x:c r="N22" s="31" t="n">
        <x:v>420</x:v>
      </x:c>
      <x:c r="O22" s="31" t="n">
        <x:v>223</x:v>
      </x:c>
      <x:c r="P22" s="31" t="n">
        <x:v>197</x:v>
      </x:c>
      <x:c r="Q22" s="31" t="n">
        <x:v>157</x:v>
      </x:c>
      <x:c r="R22" s="31" t="n">
        <x:v>89</x:v>
      </x:c>
      <x:c r="S22" s="31" t="n">
        <x:v>68</x:v>
      </x:c>
      <x:c r="T22" s="31" t="n">
        <x:v>78</x:v>
      </x:c>
      <x:c r="U22" s="31" t="n">
        <x:v>39</x:v>
      </x:c>
      <x:c r="V22" s="31" t="n">
        <x:v>39</x:v>
      </x:c>
      <x:c r="W22" s="31" t="n">
        <x:v>1720</x:v>
      </x:c>
      <x:c r="X22" s="31" t="n">
        <x:v>904</x:v>
      </x:c>
      <x:c r="Y22" s="31" t="n">
        <x:v>816</x:v>
      </x:c>
      <x:c r="Z22" s="31" t="n">
        <x:v>1527</x:v>
      </x:c>
      <x:c r="AA22" s="31" t="n">
        <x:v>798</x:v>
      </x:c>
      <x:c r="AB22" s="31" t="n">
        <x:v>729</x:v>
      </x:c>
      <x:c r="AC22" s="31" t="n">
        <x:v>148</x:v>
      </x:c>
      <x:c r="AD22" s="31" t="n">
        <x:v>82</x:v>
      </x:c>
      <x:c r="AE22" s="31" t="n">
        <x:v>66</x:v>
      </x:c>
      <x:c r="AF22" s="31" t="n">
        <x:v>0</x:v>
      </x:c>
      <x:c r="AG22" s="31" t="n">
        <x:v>0</x:v>
      </x:c>
      <x:c r="AH22" s="31" t="n">
        <x:v>0</x:v>
      </x:c>
      <x:c r="AI22" s="31" t="n">
        <x:v>45</x:v>
      </x:c>
      <x:c r="AJ22" s="31" t="n">
        <x:v>24</x:v>
      </x:c>
      <x:c r="AK22" s="31" t="n">
        <x:v>21</x:v>
      </x:c>
      <x:c r="AL22" s="31" t="n">
        <x:v>1720</x:v>
      </x:c>
      <x:c r="AM22" s="31" t="n">
        <x:v>904</x:v>
      </x:c>
      <x:c r="AN22" s="31" t="n">
        <x:v>816</x:v>
      </x:c>
      <x:c r="AO22" s="31" t="n">
        <x:v>1681</x:v>
      </x:c>
      <x:c r="AP22" s="31" t="n">
        <x:v>887</x:v>
      </x:c>
      <x:c r="AQ22" s="31" t="n">
        <x:v>794</x:v>
      </x:c>
      <x:c r="AR22" s="31" t="n">
        <x:v>16</x:v>
      </x:c>
      <x:c r="AS22" s="31" t="n">
        <x:v>7</x:v>
      </x:c>
      <x:c r="AT22" s="31" t="n">
        <x:v>9</x:v>
      </x:c>
      <x:c r="AU22" s="31" t="n">
        <x:v>0</x:v>
      </x:c>
      <x:c r="AV22" s="31" t="n">
        <x:v>0</x:v>
      </x:c>
      <x:c r="AW22" s="31" t="n">
        <x:v>0</x:v>
      </x:c>
      <x:c r="AX22" s="31" t="n">
        <x:v>23</x:v>
      </x:c>
      <x:c r="AY22" s="31" t="n">
        <x:v>10</x:v>
      </x:c>
      <x:c r="AZ22" s="31" t="n">
        <x:v>13</x:v>
      </x:c>
      <x:c r="BA22" s="31" t="n">
        <x:v>681</x:v>
      </x:c>
      <x:c r="BB22" s="31" t="n">
        <x:v>368</x:v>
      </x:c>
      <x:c r="BC22" s="31" t="n">
        <x:v>313</x:v>
      </x:c>
      <x:c r="BD22" s="31" t="n">
        <x:v>361</x:v>
      </x:c>
      <x:c r="BE22" s="31" t="n">
        <x:v>168</x:v>
      </x:c>
      <x:c r="BF22" s="31" t="n">
        <x:v>193</x:v>
      </x:c>
      <x:c r="BG22" s="31" t="n">
        <x:v>211</x:v>
      </x:c>
      <x:c r="BH22" s="31" t="n">
        <x:v>125</x:v>
      </x:c>
      <x:c r="BI22" s="31" t="n">
        <x:v>86</x:v>
      </x:c>
      <x:c r="BJ22" s="31" t="n">
        <x:v>83</x:v>
      </x:c>
      <x:c r="BK22" s="31" t="n">
        <x:v>58</x:v>
      </x:c>
      <x:c r="BL22" s="31" t="n">
        <x:v>25</x:v>
      </x:c>
      <x:c r="BM22" s="31" t="n">
        <x:v>13</x:v>
      </x:c>
      <x:c r="BN22" s="31" t="n">
        <x:v>9</x:v>
      </x:c>
      <x:c r="BO22" s="31" t="n">
        <x:v>4</x:v>
      </x:c>
      <x:c r="BP22" s="31" t="n">
        <x:v>13</x:v>
      </x:c>
      <x:c r="BQ22" s="31" t="n">
        <x:v>8</x:v>
      </x:c>
      <x:c r="BR22" s="31" t="n">
        <x:v>5</x:v>
      </x:c>
      <x:c r="BS22" s="31" t="n">
        <x:v>644</x:v>
      </x:c>
      <x:c r="BT22" s="31" t="n">
        <x:v>371</x:v>
      </x:c>
      <x:c r="BU22" s="31" t="n">
        <x:v>273</x:v>
      </x:c>
      <x:c r="BV22" s="31" t="n">
        <x:v>16</x:v>
      </x:c>
      <x:c r="BW22" s="31" t="n">
        <x:v>12</x:v>
      </x:c>
      <x:c r="BX22" s="31" t="n">
        <x:v>4</x:v>
      </x:c>
      <x:c r="BY22" s="31" t="n">
        <x:v>346</x:v>
      </x:c>
      <x:c r="BZ22" s="31" t="n">
        <x:v>250</x:v>
      </x:c>
      <x:c r="CA22" s="31" t="n">
        <x:v>96</x:v>
      </x:c>
      <x:c r="CB22" s="31" t="n">
        <x:v>99</x:v>
      </x:c>
      <x:c r="CC22" s="31" t="n">
        <x:v>30</x:v>
      </x:c>
      <x:c r="CD22" s="31" t="n">
        <x:v>69</x:v>
      </x:c>
      <x:c r="CE22" s="31" t="n">
        <x:v>183</x:v>
      </x:c>
      <x:c r="CF22" s="31" t="n">
        <x:v>79</x:v>
      </x:c>
      <x:c r="CG22" s="31" t="n">
        <x:v>104</x:v>
      </x:c>
      <x:c r="CH22" s="31" t="n">
        <x:v>1720</x:v>
      </x:c>
      <x:c r="CI22" s="31" t="n">
        <x:v>904</x:v>
      </x:c>
      <x:c r="CJ22" s="31" t="n">
        <x:v>816</x:v>
      </x:c>
      <x:c r="CK22" s="31" t="n">
        <x:v>562</x:v>
      </x:c>
      <x:c r="CL22" s="31" t="n">
        <x:v>295</x:v>
      </x:c>
      <x:c r="CM22" s="31" t="n">
        <x:v>267</x:v>
      </x:c>
      <x:c r="CN22" s="31" t="n">
        <x:v>13</x:v>
      </x:c>
      <x:c r="CO22" s="31" t="n">
        <x:v>8</x:v>
      </x:c>
      <x:c r="CP22" s="31" t="n">
        <x:v>5</x:v>
      </x:c>
      <x:c r="CQ22" s="31" t="n">
        <x:v>14</x:v>
      </x:c>
      <x:c r="CR22" s="31" t="n">
        <x:v>5</x:v>
      </x:c>
      <x:c r="CS22" s="31" t="n">
        <x:v>9</x:v>
      </x:c>
      <x:c r="CT22" s="31" t="n">
        <x:v>3</x:v>
      </x:c>
      <x:c r="CU22" s="31" t="n">
        <x:v>2</x:v>
      </x:c>
      <x:c r="CV22" s="31" t="n">
        <x:v>1</x:v>
      </x:c>
      <x:c r="CW22" s="31" t="n">
        <x:v>313</x:v>
      </x:c>
      <x:c r="CX22" s="31" t="n">
        <x:v>164</x:v>
      </x:c>
      <x:c r="CY22" s="31" t="n">
        <x:v>149</x:v>
      </x:c>
      <x:c r="CZ22" s="31" t="n">
        <x:v>268</x:v>
      </x:c>
      <x:c r="DA22" s="31" t="n">
        <x:v>144</x:v>
      </x:c>
      <x:c r="DB22" s="31" t="n">
        <x:v>124</x:v>
      </x:c>
      <x:c r="DC22" s="31" t="n">
        <x:v>1450</x:v>
      </x:c>
      <x:c r="DD22" s="31" t="n">
        <x:v>772</x:v>
      </x:c>
      <x:c r="DE22" s="31" t="n">
        <x:v>678</x:v>
      </x:c>
      <x:c r="DF22" s="31" t="n">
        <x:v>644</x:v>
      </x:c>
      <x:c r="DG22" s="31" t="n">
        <x:v>371</x:v>
      </x:c>
      <x:c r="DH22" s="31" t="n">
        <x:v>273</x:v>
      </x:c>
      <x:c r="DI22" s="31" t="n">
        <x:v>630</x:v>
      </x:c>
      <x:c r="DJ22" s="31" t="n">
        <x:v>364</x:v>
      </x:c>
      <x:c r="DK22" s="31" t="n">
        <x:v>266</x:v>
      </x:c>
      <x:c r="DL22" s="31" t="n">
        <x:v>1</x:v>
      </x:c>
      <x:c r="DM22" s="31" t="n">
        <x:v>0</x:v>
      </x:c>
      <x:c r="DN22" s="31" t="n">
        <x:v>1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1</x:v>
      </x:c>
      <x:c r="DV22" s="31" t="n">
        <x:v>1</x:v>
      </x:c>
      <x:c r="DW22" s="31" t="n">
        <x:v>0</x:v>
      </x:c>
      <x:c r="DX22" s="31" t="n">
        <x:v>2</x:v>
      </x:c>
      <x:c r="DY22" s="31" t="n">
        <x:v>0</x:v>
      </x:c>
      <x:c r="DZ22" s="31" t="n">
        <x:v>2</x:v>
      </x:c>
      <x:c r="EA22" s="31" t="n">
        <x:v>3</x:v>
      </x:c>
      <x:c r="EB22" s="31" t="n">
        <x:v>2</x:v>
      </x:c>
      <x:c r="EC22" s="31" t="n">
        <x:v>1</x:v>
      </x:c>
      <x:c r="ED22" s="31" t="n">
        <x:v>0</x:v>
      </x:c>
      <x:c r="EE22" s="31" t="n">
        <x:v>0</x:v>
      </x:c>
      <x:c r="EF22" s="31" t="n">
        <x:v>0</x:v>
      </x:c>
      <x:c r="EG22" s="31" t="n">
        <x:v>0</x:v>
      </x:c>
      <x:c r="EH22" s="31" t="n">
        <x:v>0</x:v>
      </x:c>
      <x:c r="EI22" s="31" t="n">
        <x:v>0</x:v>
      </x:c>
      <x:c r="EJ22" s="31" t="n">
        <x:v>7</x:v>
      </x:c>
      <x:c r="EK22" s="31" t="n">
        <x:v>4</x:v>
      </x:c>
      <x:c r="EL22" s="31" t="n">
        <x:v>3</x:v>
      </x:c>
      <x:c r="EM22" s="31" t="n">
        <x:v>1697</x:v>
      </x:c>
      <x:c r="EN22" s="31" t="n">
        <x:v>894</x:v>
      </x:c>
      <x:c r="EO22" s="31" t="n">
        <x:v>803</x:v>
      </x:c>
      <x:c r="EP22" s="31" t="n">
        <x:v>484</x:v>
      </x:c>
      <x:c r="EQ22" s="31" t="n">
        <x:v>249</x:v>
      </x:c>
      <x:c r="ER22" s="31" t="n">
        <x:v>235</x:v>
      </x:c>
      <x:c r="ES22" s="31" t="n">
        <x:v>7</x:v>
      </x:c>
      <x:c r="ET22" s="31" t="n">
        <x:v>5</x:v>
      </x:c>
      <x:c r="EU22" s="31" t="n">
        <x:v>2</x:v>
      </x:c>
      <x:c r="EV22" s="31" t="n">
        <x:v>5</x:v>
      </x:c>
      <x:c r="EW22" s="31" t="n">
        <x:v>2</x:v>
      </x:c>
      <x:c r="EX22" s="31" t="n">
        <x:v>3</x:v>
      </x:c>
      <x:c r="EY22" s="31" t="n">
        <x:v>1168</x:v>
      </x:c>
      <x:c r="EZ22" s="31" t="n">
        <x:v>623</x:v>
      </x:c>
      <x:c r="FA22" s="31" t="n">
        <x:v>545</x:v>
      </x:c>
      <x:c r="FB22" s="31" t="n">
        <x:v>33</x:v>
      </x:c>
      <x:c r="FC22" s="31" t="n">
        <x:v>15</x:v>
      </x:c>
      <x:c r="FD22" s="31" t="n">
        <x:v>18</x:v>
      </x:c>
      <x:c r="FE22" s="31" t="n">
        <x:v>356</x:v>
      </x:c>
      <x:c r="FF22" s="31" t="n">
        <x:v>356</x:v>
      </x:c>
      <x:c r="FG22" s="31" t="n">
        <x:v>349</x:v>
      </x:c>
      <x:c r="FH22" s="31" t="n">
        <x:v>7</x:v>
      </x:c>
      <x:c r="FI22" s="31" t="n">
        <x:v>0</x:v>
      </x:c>
      <x:c r="FJ22" s="31" t="n">
        <x:v>0</x:v>
      </x:c>
      <x:c r="FK22" s="31" t="n">
        <x:v>349</x:v>
      </x:c>
      <x:c r="FL22" s="31" t="n">
        <x:v>304</x:v>
      </x:c>
      <x:c r="FM22" s="31" t="n">
        <x:v>0</x:v>
      </x:c>
      <x:c r="FN22" s="31" t="n">
        <x:v>1</x:v>
      </x:c>
      <x:c r="FO22" s="31" t="n">
        <x:v>10</x:v>
      </x:c>
      <x:c r="FP22" s="31" t="n">
        <x:v>34</x:v>
      </x:c>
      <x:c r="FQ22" s="31" t="n">
        <x:v>349</x:v>
      </x:c>
      <x:c r="FR22" s="31" t="n">
        <x:v>1</x:v>
      </x:c>
      <x:c r="FS22" s="31" t="n">
        <x:v>4</x:v>
      </x:c>
      <x:c r="FT22" s="31" t="n">
        <x:v>31</x:v>
      </x:c>
      <x:c r="FU22" s="31" t="n">
        <x:v>1</x:v>
      </x:c>
      <x:c r="FV22" s="31" t="n">
        <x:v>312</x:v>
      </x:c>
      <x:c r="FW22" s="31" t="n">
        <x:v>349</x:v>
      </x:c>
      <x:c r="FX22" s="31" t="n">
        <x:v>2</x:v>
      </x:c>
      <x:c r="FY22" s="31" t="n">
        <x:v>0</x:v>
      </x:c>
      <x:c r="FZ22" s="31" t="n">
        <x:v>0</x:v>
      </x:c>
      <x:c r="GA22" s="31" t="n">
        <x:v>46</x:v>
      </x:c>
      <x:c r="GB22" s="31" t="n">
        <x:v>33</x:v>
      </x:c>
      <x:c r="GC22" s="31" t="n">
        <x:v>263</x:v>
      </x:c>
      <x:c r="GD22" s="31" t="n">
        <x:v>1</x:v>
      </x:c>
      <x:c r="GE22" s="31" t="n">
        <x:v>3</x:v>
      </x:c>
      <x:c r="GF22" s="31" t="n">
        <x:v>1</x:v>
      </x:c>
      <x:c r="GG22" s="31" t="n">
        <x:v>349</x:v>
      </x:c>
      <x:c r="GH22" s="31" t="n">
        <x:v>0</x:v>
      </x:c>
      <x:c r="GI22" s="31" t="n">
        <x:v>3</x:v>
      </x:c>
      <x:c r="GJ22" s="31" t="n">
        <x:v>104</x:v>
      </x:c>
      <x:c r="GK22" s="31" t="n">
        <x:v>3</x:v>
      </x:c>
      <x:c r="GL22" s="31" t="n">
        <x:v>9</x:v>
      </x:c>
      <x:c r="GM22" s="31" t="n">
        <x:v>6</x:v>
      </x:c>
      <x:c r="GN22" s="31" t="n">
        <x:v>224</x:v>
      </x:c>
      <x:c r="GO22" s="31" t="n">
        <x:v>349</x:v>
      </x:c>
      <x:c r="GP22" s="31" t="n">
        <x:v>3</x:v>
      </x:c>
      <x:c r="GQ22" s="31" t="n">
        <x:v>1</x:v>
      </x:c>
      <x:c r="GR22" s="31" t="n">
        <x:v>342</x:v>
      </x:c>
      <x:c r="GS22" s="31" t="n">
        <x:v>0</x:v>
      </x:c>
      <x:c r="GT22" s="31" t="n">
        <x:v>0</x:v>
      </x:c>
      <x:c r="GU22" s="31" t="n">
        <x:v>0</x:v>
      </x:c>
      <x:c r="GV22" s="31" t="n">
        <x:v>2</x:v>
      </x:c>
      <x:c r="GW22" s="31" t="n">
        <x:v>1</x:v>
      </x:c>
      <x:c r="GX22" s="31" t="n">
        <x:v>349</x:v>
      </x:c>
      <x:c r="GY22" s="31" t="n">
        <x:v>0</x:v>
      </x:c>
      <x:c r="GZ22" s="31" t="n">
        <x:v>1</x:v>
      </x:c>
      <x:c r="HA22" s="31" t="n">
        <x:v>1</x:v>
      </x:c>
      <x:c r="HB22" s="31" t="n">
        <x:v>8</x:v>
      </x:c>
      <x:c r="HC22" s="31" t="n">
        <x:v>318</x:v>
      </x:c>
      <x:c r="HD22" s="31" t="n">
        <x:v>20</x:v>
      </x:c>
      <x:c r="HE22" s="31" t="n">
        <x:v>1</x:v>
      </x:c>
      <x:c r="HF22" s="31" t="n">
        <x:v>349</x:v>
      </x:c>
      <x:c r="HG22" s="31" t="n">
        <x:v>56</x:v>
      </x:c>
      <x:c r="HH22" s="31" t="n">
        <x:v>4</x:v>
      </x:c>
      <x:c r="HI22" s="31" t="n">
        <x:v>60</x:v>
      </x:c>
      <x:c r="HJ22" s="31" t="n">
        <x:v>17</x:v>
      </x:c>
      <x:c r="HK22" s="31" t="str">
        <x:v>Ficha_INE_Estacion_Biologica_del_Beni.pdf</x:v>
      </x:c>
      <x:c r="HL22" s="31" t="str">
        <x:v>Instituto Nacional de Estadística, Censo de Población y Vivienda 2024</x:v>
      </x:c>
    </x:row>
    <x:row r="23" ht="20" customHeight="1">
      <x:c r="A23" s="31" t="str">
        <x:v>AP-0101</x:v>
      </x:c>
      <x:c r="B23" s="31" t="str">
        <x:v>Sajama</x:v>
      </x:c>
      <x:c r="C23" s="31" t="n">
        <x:v>6</x:v>
      </x:c>
      <x:c r="D23" s="31" t="str">
        <x:v>Sí</x:v>
      </x:c>
      <x:c r="E23" s="31" t="str">
        <x:v>ORURO</x:v>
      </x:c>
      <x:c r="F23" s="31" t="str">
        <x:v>SAJAMA</x:v>
      </x:c>
      <x:c r="G23" s="31" t="str">
        <x:v>CURAHUARA DE CARANGAS</x:v>
      </x:c>
      <x:c r="H23" s="31" t="n">
        <x:v>1169</x:v>
      </x:c>
      <x:c r="I23" s="31" t="n">
        <x:v>633</x:v>
      </x:c>
      <x:c r="J23" s="31" t="n">
        <x:v>536</x:v>
      </x:c>
      <x:c r="K23" s="31" t="n">
        <x:v>363</x:v>
      </x:c>
      <x:c r="L23" s="31" t="n">
        <x:v>221</x:v>
      </x:c>
      <x:c r="M23" s="31" t="n">
        <x:v>142</x:v>
      </x:c>
      <x:c r="N23" s="31" t="n">
        <x:v>409</x:v>
      </x:c>
      <x:c r="O23" s="31" t="n">
        <x:v>218</x:v>
      </x:c>
      <x:c r="P23" s="31" t="n">
        <x:v>191</x:v>
      </x:c>
      <x:c r="Q23" s="31" t="n">
        <x:v>263</x:v>
      </x:c>
      <x:c r="R23" s="31" t="n">
        <x:v>133</x:v>
      </x:c>
      <x:c r="S23" s="31" t="n">
        <x:v>130</x:v>
      </x:c>
      <x:c r="T23" s="31" t="n">
        <x:v>134</x:v>
      </x:c>
      <x:c r="U23" s="31" t="n">
        <x:v>61</x:v>
      </x:c>
      <x:c r="V23" s="31" t="n">
        <x:v>73</x:v>
      </x:c>
      <x:c r="W23" s="31" t="n">
        <x:v>1169</x:v>
      </x:c>
      <x:c r="X23" s="31" t="n">
        <x:v>633</x:v>
      </x:c>
      <x:c r="Y23" s="31" t="n">
        <x:v>536</x:v>
      </x:c>
      <x:c r="Z23" s="31" t="n">
        <x:v>931</x:v>
      </x:c>
      <x:c r="AA23" s="31" t="n">
        <x:v>488</x:v>
      </x:c>
      <x:c r="AB23" s="31" t="n">
        <x:v>443</x:v>
      </x:c>
      <x:c r="AC23" s="31" t="n">
        <x:v>182</x:v>
      </x:c>
      <x:c r="AD23" s="31" t="n">
        <x:v>113</x:v>
      </x:c>
      <x:c r="AE23" s="31" t="n">
        <x:v>69</x:v>
      </x:c>
      <x:c r="AF23" s="31" t="n">
        <x:v>41</x:v>
      </x:c>
      <x:c r="AG23" s="31" t="n">
        <x:v>23</x:v>
      </x:c>
      <x:c r="AH23" s="31" t="n">
        <x:v>18</x:v>
      </x:c>
      <x:c r="AI23" s="31" t="n">
        <x:v>15</x:v>
      </x:c>
      <x:c r="AJ23" s="31" t="n">
        <x:v>9</x:v>
      </x:c>
      <x:c r="AK23" s="31" t="n">
        <x:v>6</x:v>
      </x:c>
      <x:c r="AL23" s="31" t="n">
        <x:v>1169</x:v>
      </x:c>
      <x:c r="AM23" s="31" t="n">
        <x:v>633</x:v>
      </x:c>
      <x:c r="AN23" s="31" t="n">
        <x:v>536</x:v>
      </x:c>
      <x:c r="AO23" s="31" t="n">
        <x:v>1114</x:v>
      </x:c>
      <x:c r="AP23" s="31" t="n">
        <x:v>602</x:v>
      </x:c>
      <x:c r="AQ23" s="31" t="n">
        <x:v>512</x:v>
      </x:c>
      <x:c r="AR23" s="31" t="n">
        <x:v>28</x:v>
      </x:c>
      <x:c r="AS23" s="31" t="n">
        <x:v>18</x:v>
      </x:c>
      <x:c r="AT23" s="31" t="n">
        <x:v>10</x:v>
      </x:c>
      <x:c r="AU23" s="31" t="n">
        <x:v>16</x:v>
      </x:c>
      <x:c r="AV23" s="31" t="n">
        <x:v>8</x:v>
      </x:c>
      <x:c r="AW23" s="31" t="n">
        <x:v>8</x:v>
      </x:c>
      <x:c r="AX23" s="31" t="n">
        <x:v>11</x:v>
      </x:c>
      <x:c r="AY23" s="31" t="n">
        <x:v>5</x:v>
      </x:c>
      <x:c r="AZ23" s="31" t="n">
        <x:v>6</x:v>
      </x:c>
      <x:c r="BA23" s="31" t="n">
        <x:v>807</x:v>
      </x:c>
      <x:c r="BB23" s="31" t="n">
        <x:v>416</x:v>
      </x:c>
      <x:c r="BC23" s="31" t="n">
        <x:v>391</x:v>
      </x:c>
      <x:c r="BD23" s="31" t="n">
        <x:v>21</x:v>
      </x:c>
      <x:c r="BE23" s="31" t="n">
        <x:v>3</x:v>
      </x:c>
      <x:c r="BF23" s="31" t="n">
        <x:v>18</x:v>
      </x:c>
      <x:c r="BG23" s="31" t="n">
        <x:v>163</x:v>
      </x:c>
      <x:c r="BH23" s="31" t="n">
        <x:v>57</x:v>
      </x:c>
      <x:c r="BI23" s="31" t="n">
        <x:v>106</x:v>
      </x:c>
      <x:c r="BJ23" s="31" t="n">
        <x:v>454</x:v>
      </x:c>
      <x:c r="BK23" s="31" t="n">
        <x:v>265</x:v>
      </x:c>
      <x:c r="BL23" s="31" t="n">
        <x:v>189</x:v>
      </x:c>
      <x:c r="BM23" s="31" t="n">
        <x:v>168</x:v>
      </x:c>
      <x:c r="BN23" s="31" t="n">
        <x:v>90</x:v>
      </x:c>
      <x:c r="BO23" s="31" t="n">
        <x:v>78</x:v>
      </x:c>
      <x:c r="BP23" s="31" t="n">
        <x:v>1</x:v>
      </x:c>
      <x:c r="BQ23" s="31" t="n">
        <x:v>1</x:v>
      </x:c>
      <x:c r="BR23" s="31" t="n">
        <x:v>0</x:v>
      </x:c>
      <x:c r="BS23" s="31" t="n">
        <x:v>726</x:v>
      </x:c>
      <x:c r="BT23" s="31" t="n">
        <x:v>382</x:v>
      </x:c>
      <x:c r="BU23" s="31" t="n">
        <x:v>344</x:v>
      </x:c>
      <x:c r="BV23" s="31" t="n">
        <x:v>75</x:v>
      </x:c>
      <x:c r="BW23" s="31" t="n">
        <x:v>53</x:v>
      </x:c>
      <x:c r="BX23" s="31" t="n">
        <x:v>22</x:v>
      </x:c>
      <x:c r="BY23" s="31" t="n">
        <x:v>459</x:v>
      </x:c>
      <x:c r="BZ23" s="31" t="n">
        <x:v>238</x:v>
      </x:c>
      <x:c r="CA23" s="31" t="n">
        <x:v>221</x:v>
      </x:c>
      <x:c r="CB23" s="31" t="n">
        <x:v>135</x:v>
      </x:c>
      <x:c r="CC23" s="31" t="n">
        <x:v>61</x:v>
      </x:c>
      <x:c r="CD23" s="31" t="n">
        <x:v>74</x:v>
      </x:c>
      <x:c r="CE23" s="31" t="n">
        <x:v>57</x:v>
      </x:c>
      <x:c r="CF23" s="31" t="n">
        <x:v>30</x:v>
      </x:c>
      <x:c r="CG23" s="31" t="n">
        <x:v>27</x:v>
      </x:c>
      <x:c r="CH23" s="31" t="n">
        <x:v>1169</x:v>
      </x:c>
      <x:c r="CI23" s="31" t="n">
        <x:v>633</x:v>
      </x:c>
      <x:c r="CJ23" s="31" t="n">
        <x:v>536</x:v>
      </x:c>
      <x:c r="CK23" s="31" t="n">
        <x:v>1061</x:v>
      </x:c>
      <x:c r="CL23" s="31" t="n">
        <x:v>574</x:v>
      </x:c>
      <x:c r="CM23" s="31" t="n">
        <x:v>487</x:v>
      </x:c>
      <x:c r="CN23" s="31" t="n">
        <x:v>69</x:v>
      </x:c>
      <x:c r="CO23" s="31" t="n">
        <x:v>37</x:v>
      </x:c>
      <x:c r="CP23" s="31" t="n">
        <x:v>32</x:v>
      </x:c>
      <x:c r="CQ23" s="31" t="n">
        <x:v>145</x:v>
      </x:c>
      <x:c r="CR23" s="31" t="n">
        <x:v>79</x:v>
      </x:c>
      <x:c r="CS23" s="31" t="n">
        <x:v>66</x:v>
      </x:c>
      <x:c r="CT23" s="31" t="n">
        <x:v>173</x:v>
      </x:c>
      <x:c r="CU23" s="31" t="n">
        <x:v>87</x:v>
      </x:c>
      <x:c r="CV23" s="31" t="n">
        <x:v>86</x:v>
      </x:c>
      <x:c r="CW23" s="31" t="n">
        <x:v>548</x:v>
      </x:c>
      <x:c r="CX23" s="31" t="n">
        <x:v>290</x:v>
      </x:c>
      <x:c r="CY23" s="31" t="n">
        <x:v>258</x:v>
      </x:c>
      <x:c r="CZ23" s="31" t="n">
        <x:v>422</x:v>
      </x:c>
      <x:c r="DA23" s="31" t="n">
        <x:v>233</x:v>
      </x:c>
      <x:c r="DB23" s="31" t="n">
        <x:v>189</x:v>
      </x:c>
      <x:c r="DC23" s="31" t="n">
        <x:v>925</x:v>
      </x:c>
      <x:c r="DD23" s="31" t="n">
        <x:v>496</x:v>
      </x:c>
      <x:c r="DE23" s="31" t="n">
        <x:v>429</x:v>
      </x:c>
      <x:c r="DF23" s="31" t="n">
        <x:v>726</x:v>
      </x:c>
      <x:c r="DG23" s="31" t="n">
        <x:v>382</x:v>
      </x:c>
      <x:c r="DH23" s="31" t="n">
        <x:v>344</x:v>
      </x:c>
      <x:c r="DI23" s="31" t="n">
        <x:v>526</x:v>
      </x:c>
      <x:c r="DJ23" s="31" t="n">
        <x:v>271</x:v>
      </x:c>
      <x:c r="DK23" s="31" t="n">
        <x:v>255</x:v>
      </x:c>
      <x:c r="DL23" s="31" t="n">
        <x:v>37</x:v>
      </x:c>
      <x:c r="DM23" s="31" t="n">
        <x:v>18</x:v>
      </x:c>
      <x:c r="DN23" s="31" t="n">
        <x:v>19</x:v>
      </x:c>
      <x:c r="DO23" s="31" t="n">
        <x:v>36</x:v>
      </x:c>
      <x:c r="DP23" s="31" t="n">
        <x:v>7</x:v>
      </x:c>
      <x:c r="DQ23" s="31" t="n">
        <x:v>29</x:v>
      </x:c>
      <x:c r="DR23" s="31" t="n">
        <x:v>12</x:v>
      </x:c>
      <x:c r="DS23" s="31" t="n">
        <x:v>12</x:v>
      </x:c>
      <x:c r="DT23" s="31" t="n">
        <x:v>0</x:v>
      </x:c>
      <x:c r="DU23" s="31" t="n">
        <x:v>28</x:v>
      </x:c>
      <x:c r="DV23" s="31" t="n">
        <x:v>28</x:v>
      </x:c>
      <x:c r="DW23" s="31" t="n">
        <x:v>0</x:v>
      </x:c>
      <x:c r="DX23" s="31" t="n">
        <x:v>15</x:v>
      </x:c>
      <x:c r="DY23" s="31" t="n">
        <x:v>2</x:v>
      </x:c>
      <x:c r="DZ23" s="31" t="n">
        <x:v>13</x:v>
      </x:c>
      <x:c r="EA23" s="31" t="n">
        <x:v>6</x:v>
      </x:c>
      <x:c r="EB23" s="31" t="n">
        <x:v>3</x:v>
      </x:c>
      <x:c r="EC23" s="31" t="n">
        <x:v>3</x:v>
      </x:c>
      <x:c r="ED23" s="31" t="n">
        <x:v>8</x:v>
      </x:c>
      <x:c r="EE23" s="31" t="n">
        <x:v>5</x:v>
      </x:c>
      <x:c r="EF23" s="31" t="n">
        <x:v>3</x:v>
      </x:c>
      <x:c r="EG23" s="31" t="n">
        <x:v>45</x:v>
      </x:c>
      <x:c r="EH23" s="31" t="n">
        <x:v>27</x:v>
      </x:c>
      <x:c r="EI23" s="31" t="n">
        <x:v>18</x:v>
      </x:c>
      <x:c r="EJ23" s="31" t="n">
        <x:v>13</x:v>
      </x:c>
      <x:c r="EK23" s="31" t="n">
        <x:v>9</x:v>
      </x:c>
      <x:c r="EL23" s="31" t="n">
        <x:v>4</x:v>
      </x:c>
      <x:c r="EM23" s="31" t="n">
        <x:v>1142</x:v>
      </x:c>
      <x:c r="EN23" s="31" t="n">
        <x:v>620</x:v>
      </x:c>
      <x:c r="EO23" s="31" t="n">
        <x:v>522</x:v>
      </x:c>
      <x:c r="EP23" s="31" t="n">
        <x:v>910</x:v>
      </x:c>
      <x:c r="EQ23" s="31" t="n">
        <x:v>489</x:v>
      </x:c>
      <x:c r="ER23" s="31" t="n">
        <x:v>421</x:v>
      </x:c>
      <x:c r="ES23" s="31" t="n">
        <x:v>58</x:v>
      </x:c>
      <x:c r="ET23" s="31" t="n">
        <x:v>36</x:v>
      </x:c>
      <x:c r="EU23" s="31" t="n">
        <x:v>22</x:v>
      </x:c>
      <x:c r="EV23" s="31" t="n">
        <x:v>4</x:v>
      </x:c>
      <x:c r="EW23" s="31" t="n">
        <x:v>1</x:v>
      </x:c>
      <x:c r="EX23" s="31" t="n">
        <x:v>3</x:v>
      </x:c>
      <x:c r="EY23" s="31" t="n">
        <x:v>151</x:v>
      </x:c>
      <x:c r="EZ23" s="31" t="n">
        <x:v>85</x:v>
      </x:c>
      <x:c r="FA23" s="31" t="n">
        <x:v>66</x:v>
      </x:c>
      <x:c r="FB23" s="31" t="n">
        <x:v>19</x:v>
      </x:c>
      <x:c r="FC23" s="31" t="n">
        <x:v>9</x:v>
      </x:c>
      <x:c r="FD23" s="31" t="n">
        <x:v>10</x:v>
      </x:c>
      <x:c r="FE23" s="31" t="n">
        <x:v>754</x:v>
      </x:c>
      <x:c r="FF23" s="31" t="n">
        <x:v>745</x:v>
      </x:c>
      <x:c r="FG23" s="31" t="n">
        <x:v>365</x:v>
      </x:c>
      <x:c r="FH23" s="31" t="n">
        <x:v>314</x:v>
      </x:c>
      <x:c r="FI23" s="31" t="n">
        <x:v>66</x:v>
      </x:c>
      <x:c r="FJ23" s="31" t="n">
        <x:v>9</x:v>
      </x:c>
      <x:c r="FK23" s="31" t="n">
        <x:v>365</x:v>
      </x:c>
      <x:c r="FL23" s="31" t="n">
        <x:v>330</x:v>
      </x:c>
      <x:c r="FM23" s="31" t="n">
        <x:v>6</x:v>
      </x:c>
      <x:c r="FN23" s="31" t="n">
        <x:v>0</x:v>
      </x:c>
      <x:c r="FO23" s="31" t="n">
        <x:v>27</x:v>
      </x:c>
      <x:c r="FP23" s="31" t="n">
        <x:v>2</x:v>
      </x:c>
      <x:c r="FQ23" s="31" t="n">
        <x:v>365</x:v>
      </x:c>
      <x:c r="FR23" s="31" t="n">
        <x:v>318</x:v>
      </x:c>
      <x:c r="FS23" s="31" t="n">
        <x:v>1</x:v>
      </x:c>
      <x:c r="FT23" s="31" t="n">
        <x:v>11</x:v>
      </x:c>
      <x:c r="FU23" s="31" t="n">
        <x:v>1</x:v>
      </x:c>
      <x:c r="FV23" s="31" t="n">
        <x:v>34</x:v>
      </x:c>
      <x:c r="FW23" s="31" t="n">
        <x:v>365</x:v>
      </x:c>
      <x:c r="FX23" s="31" t="n">
        <x:v>205</x:v>
      </x:c>
      <x:c r="FY23" s="31" t="n">
        <x:v>23</x:v>
      </x:c>
      <x:c r="FZ23" s="31" t="n">
        <x:v>0</x:v>
      </x:c>
      <x:c r="GA23" s="31" t="n">
        <x:v>50</x:v>
      </x:c>
      <x:c r="GB23" s="31" t="n">
        <x:v>24</x:v>
      </x:c>
      <x:c r="GC23" s="31" t="n">
        <x:v>28</x:v>
      </x:c>
      <x:c r="GD23" s="31" t="n">
        <x:v>28</x:v>
      </x:c>
      <x:c r="GE23" s="31" t="n">
        <x:v>3</x:v>
      </x:c>
      <x:c r="GF23" s="31" t="n">
        <x:v>4</x:v>
      </x:c>
      <x:c r="GG23" s="31" t="n">
        <x:v>365</x:v>
      </x:c>
      <x:c r="GH23" s="31" t="n">
        <x:v>150</x:v>
      </x:c>
      <x:c r="GI23" s="31" t="n">
        <x:v>11</x:v>
      </x:c>
      <x:c r="GJ23" s="31" t="n">
        <x:v>106</x:v>
      </x:c>
      <x:c r="GK23" s="31" t="n">
        <x:v>0</x:v>
      </x:c>
      <x:c r="GL23" s="31" t="n">
        <x:v>5</x:v>
      </x:c>
      <x:c r="GM23" s="31" t="n">
        <x:v>3</x:v>
      </x:c>
      <x:c r="GN23" s="31" t="n">
        <x:v>90</x:v>
      </x:c>
      <x:c r="GO23" s="31" t="n">
        <x:v>365</x:v>
      </x:c>
      <x:c r="GP23" s="31" t="n">
        <x:v>237</x:v>
      </x:c>
      <x:c r="GQ23" s="31" t="n">
        <x:v>1</x:v>
      </x:c>
      <x:c r="GR23" s="31" t="n">
        <x:v>124</x:v>
      </x:c>
      <x:c r="GS23" s="31" t="n">
        <x:v>1</x:v>
      </x:c>
      <x:c r="GT23" s="31" t="n">
        <x:v>2</x:v>
      </x:c>
      <x:c r="GU23" s="31" t="n">
        <x:v>0</x:v>
      </x:c>
      <x:c r="GV23" s="31" t="n">
        <x:v>0</x:v>
      </x:c>
      <x:c r="GW23" s="31" t="n">
        <x:v>0</x:v>
      </x:c>
      <x:c r="GX23" s="31" t="n">
        <x:v>365</x:v>
      </x:c>
      <x:c r="GY23" s="31" t="n">
        <x:v>112</x:v>
      </x:c>
      <x:c r="GZ23" s="31" t="n">
        <x:v>3</x:v>
      </x:c>
      <x:c r="HA23" s="31" t="n">
        <x:v>9</x:v>
      </x:c>
      <x:c r="HB23" s="31" t="n">
        <x:v>0</x:v>
      </x:c>
      <x:c r="HC23" s="31" t="n">
        <x:v>200</x:v>
      </x:c>
      <x:c r="HD23" s="31" t="n">
        <x:v>41</x:v>
      </x:c>
      <x:c r="HE23" s="31" t="n">
        <x:v>0</x:v>
      </x:c>
      <x:c r="HF23" s="31" t="n">
        <x:v>365</x:v>
      </x:c>
      <x:c r="HG23" s="31" t="n">
        <x:v>238</x:v>
      </x:c>
      <x:c r="HH23" s="31" t="n">
        <x:v>176</x:v>
      </x:c>
      <x:c r="HI23" s="31" t="n">
        <x:v>322</x:v>
      </x:c>
      <x:c r="HJ23" s="31" t="n">
        <x:v>264</x:v>
      </x:c>
      <x:c r="HK23" s="31" t="str">
        <x:v>Ficha_INE_Sajama.pdf</x:v>
      </x:c>
      <x:c r="HL23" s="31" t="str">
        <x:v>Instituto Nacional de Estadística, Censo de Población y Vivienda 2024</x:v>
      </x:c>
    </x:row>
    <x:row r="24" ht="20" customHeight="1">
      <x:c r="A24" s="31" t="str">
        <x:v>AP-2305</x:v>
      </x:c>
      <x:c r="B24" s="31" t="str">
        <x:v>El Cardon</x:v>
      </x:c>
      <x:c r="C24" s="31" t="n">
        <x:v>22</x:v>
      </x:c>
      <x:c r="D24" s="31" t="str">
        <x:v>Sí</x:v>
      </x:c>
      <x:c r="E24" s="31" t="str">
        <x:v>TARIJA</x:v>
      </x:c>
      <x:c r="F24" s="31" t="str">
        <x:v>AVILEZ, MÉNDEZ</x:v>
      </x:c>
      <x:c r="G24" s="31" t="str">
        <x:v>YUNCHARÁ, EL PUENTE</x:v>
      </x:c>
      <x:c r="H24" s="31" t="n">
        <x:v>940</x:v>
      </x:c>
      <x:c r="I24" s="31" t="n">
        <x:v>466</x:v>
      </x:c>
      <x:c r="J24" s="31" t="n">
        <x:v>474</x:v>
      </x:c>
      <x:c r="K24" s="31" t="n">
        <x:v>322</x:v>
      </x:c>
      <x:c r="L24" s="31" t="n">
        <x:v>176</x:v>
      </x:c>
      <x:c r="M24" s="31" t="n">
        <x:v>146</x:v>
      </x:c>
      <x:c r="N24" s="31" t="n">
        <x:v>288</x:v>
      </x:c>
      <x:c r="O24" s="31" t="n">
        <x:v>133</x:v>
      </x:c>
      <x:c r="P24" s="31" t="n">
        <x:v>155</x:v>
      </x:c>
      <x:c r="Q24" s="31" t="n">
        <x:v>166</x:v>
      </x:c>
      <x:c r="R24" s="31" t="n">
        <x:v>89</x:v>
      </x:c>
      <x:c r="S24" s="31" t="n">
        <x:v>77</x:v>
      </x:c>
      <x:c r="T24" s="31" t="n">
        <x:v>164</x:v>
      </x:c>
      <x:c r="U24" s="31" t="n">
        <x:v>68</x:v>
      </x:c>
      <x:c r="V24" s="31" t="n">
        <x:v>96</x:v>
      </x:c>
      <x:c r="W24" s="31" t="n">
        <x:v>940</x:v>
      </x:c>
      <x:c r="X24" s="31" t="n">
        <x:v>466</x:v>
      </x:c>
      <x:c r="Y24" s="31" t="n">
        <x:v>474</x:v>
      </x:c>
      <x:c r="Z24" s="31" t="n">
        <x:v>790</x:v>
      </x:c>
      <x:c r="AA24" s="31" t="n">
        <x:v>388</x:v>
      </x:c>
      <x:c r="AB24" s="31" t="n">
        <x:v>402</x:v>
      </x:c>
      <x:c r="AC24" s="31" t="n">
        <x:v>143</x:v>
      </x:c>
      <x:c r="AD24" s="31" t="n">
        <x:v>73</x:v>
      </x:c>
      <x:c r="AE24" s="31" t="n">
        <x:v>70</x:v>
      </x:c>
      <x:c r="AF24" s="31" t="n">
        <x:v>3</x:v>
      </x:c>
      <x:c r="AG24" s="31" t="n">
        <x:v>3</x:v>
      </x:c>
      <x:c r="AH24" s="31" t="n">
        <x:v>0</x:v>
      </x:c>
      <x:c r="AI24" s="31" t="n">
        <x:v>4</x:v>
      </x:c>
      <x:c r="AJ24" s="31" t="n">
        <x:v>2</x:v>
      </x:c>
      <x:c r="AK24" s="31" t="n">
        <x:v>2</x:v>
      </x:c>
      <x:c r="AL24" s="31" t="n">
        <x:v>940</x:v>
      </x:c>
      <x:c r="AM24" s="31" t="n">
        <x:v>466</x:v>
      </x:c>
      <x:c r="AN24" s="31" t="n">
        <x:v>474</x:v>
      </x:c>
      <x:c r="AO24" s="31" t="n">
        <x:v>903</x:v>
      </x:c>
      <x:c r="AP24" s="31" t="n">
        <x:v>447</x:v>
      </x:c>
      <x:c r="AQ24" s="31" t="n">
        <x:v>456</x:v>
      </x:c>
      <x:c r="AR24" s="31" t="n">
        <x:v>29</x:v>
      </x:c>
      <x:c r="AS24" s="31" t="n">
        <x:v>13</x:v>
      </x:c>
      <x:c r="AT24" s="31" t="n">
        <x:v>16</x:v>
      </x:c>
      <x:c r="AU24" s="31" t="n">
        <x:v>4</x:v>
      </x:c>
      <x:c r="AV24" s="31" t="n">
        <x:v>4</x:v>
      </x:c>
      <x:c r="AW24" s="31" t="n">
        <x:v>0</x:v>
      </x:c>
      <x:c r="AX24" s="31" t="n">
        <x:v>4</x:v>
      </x:c>
      <x:c r="AY24" s="31" t="n">
        <x:v>2</x:v>
      </x:c>
      <x:c r="AZ24" s="31" t="n">
        <x:v>2</x:v>
      </x:c>
      <x:c r="BA24" s="31" t="n">
        <x:v>619</x:v>
      </x:c>
      <x:c r="BB24" s="31" t="n">
        <x:v>291</x:v>
      </x:c>
      <x:c r="BC24" s="31" t="n">
        <x:v>328</x:v>
      </x:c>
      <x:c r="BD24" s="31" t="n">
        <x:v>94</x:v>
      </x:c>
      <x:c r="BE24" s="31" t="n">
        <x:v>18</x:v>
      </x:c>
      <x:c r="BF24" s="31" t="n">
        <x:v>76</x:v>
      </x:c>
      <x:c r="BG24" s="31" t="n">
        <x:v>309</x:v>
      </x:c>
      <x:c r="BH24" s="31" t="n">
        <x:v>169</x:v>
      </x:c>
      <x:c r="BI24" s="31" t="n">
        <x:v>140</x:v>
      </x:c>
      <x:c r="BJ24" s="31" t="n">
        <x:v>137</x:v>
      </x:c>
      <x:c r="BK24" s="31" t="n">
        <x:v>73</x:v>
      </x:c>
      <x:c r="BL24" s="31" t="n">
        <x:v>64</x:v>
      </x:c>
      <x:c r="BM24" s="31" t="n">
        <x:v>76</x:v>
      </x:c>
      <x:c r="BN24" s="31" t="n">
        <x:v>30</x:v>
      </x:c>
      <x:c r="BO24" s="31" t="n">
        <x:v>46</x:v>
      </x:c>
      <x:c r="BP24" s="31" t="n">
        <x:v>3</x:v>
      </x:c>
      <x:c r="BQ24" s="31" t="n">
        <x:v>1</x:v>
      </x:c>
      <x:c r="BR24" s="31" t="n">
        <x:v>2</x:v>
      </x:c>
      <x:c r="BS24" s="31" t="n">
        <x:v>543</x:v>
      </x:c>
      <x:c r="BT24" s="31" t="n">
        <x:v>276</x:v>
      </x:c>
      <x:c r="BU24" s="31" t="n">
        <x:v>267</x:v>
      </x:c>
      <x:c r="BV24" s="31" t="n">
        <x:v>71</x:v>
      </x:c>
      <x:c r="BW24" s="31" t="n">
        <x:v>44</x:v>
      </x:c>
      <x:c r="BX24" s="31" t="n">
        <x:v>27</x:v>
      </x:c>
      <x:c r="BY24" s="31" t="n">
        <x:v>266</x:v>
      </x:c>
      <x:c r="BZ24" s="31" t="n">
        <x:v>158</x:v>
      </x:c>
      <x:c r="CA24" s="31" t="n">
        <x:v>108</x:v>
      </x:c>
      <x:c r="CB24" s="31" t="n">
        <x:v>174</x:v>
      </x:c>
      <x:c r="CC24" s="31" t="n">
        <x:v>52</x:v>
      </x:c>
      <x:c r="CD24" s="31" t="n">
        <x:v>122</x:v>
      </x:c>
      <x:c r="CE24" s="31" t="n">
        <x:v>32</x:v>
      </x:c>
      <x:c r="CF24" s="31" t="n">
        <x:v>22</x:v>
      </x:c>
      <x:c r="CG24" s="31" t="n">
        <x:v>10</x:v>
      </x:c>
      <x:c r="CH24" s="31" t="n">
        <x:v>940</x:v>
      </x:c>
      <x:c r="CI24" s="31" t="n">
        <x:v>466</x:v>
      </x:c>
      <x:c r="CJ24" s="31" t="n">
        <x:v>474</x:v>
      </x:c>
      <x:c r="CK24" s="31" t="n">
        <x:v>873</x:v>
      </x:c>
      <x:c r="CL24" s="31" t="n">
        <x:v>428</x:v>
      </x:c>
      <x:c r="CM24" s="31" t="n">
        <x:v>445</x:v>
      </x:c>
      <x:c r="CN24" s="31" t="n">
        <x:v>60</x:v>
      </x:c>
      <x:c r="CO24" s="31" t="n">
        <x:v>27</x:v>
      </x:c>
      <x:c r="CP24" s="31" t="n">
        <x:v>33</x:v>
      </x:c>
      <x:c r="CQ24" s="31" t="n">
        <x:v>89</x:v>
      </x:c>
      <x:c r="CR24" s="31" t="n">
        <x:v>44</x:v>
      </x:c>
      <x:c r="CS24" s="31" t="n">
        <x:v>45</x:v>
      </x:c>
      <x:c r="CT24" s="31" t="n">
        <x:v>312</x:v>
      </x:c>
      <x:c r="CU24" s="31" t="n">
        <x:v>151</x:v>
      </x:c>
      <x:c r="CV24" s="31" t="n">
        <x:v>161</x:v>
      </x:c>
      <x:c r="CW24" s="31" t="n">
        <x:v>389</x:v>
      </x:c>
      <x:c r="CX24" s="31" t="n">
        <x:v>193</x:v>
      </x:c>
      <x:c r="CY24" s="31" t="n">
        <x:v>196</x:v>
      </x:c>
      <x:c r="CZ24" s="31" t="n">
        <x:v>291</x:v>
      </x:c>
      <x:c r="DA24" s="31" t="n">
        <x:v>157</x:v>
      </x:c>
      <x:c r="DB24" s="31" t="n">
        <x:v>134</x:v>
      </x:c>
      <x:c r="DC24" s="31" t="n">
        <x:v>836</x:v>
      </x:c>
      <x:c r="DD24" s="31" t="n">
        <x:v>419</x:v>
      </x:c>
      <x:c r="DE24" s="31" t="n">
        <x:v>417</x:v>
      </x:c>
      <x:c r="DF24" s="31" t="n">
        <x:v>543</x:v>
      </x:c>
      <x:c r="DG24" s="31" t="n">
        <x:v>276</x:v>
      </x:c>
      <x:c r="DH24" s="31" t="n">
        <x:v>267</x:v>
      </x:c>
      <x:c r="DI24" s="31" t="n">
        <x:v>431</x:v>
      </x:c>
      <x:c r="DJ24" s="31" t="n">
        <x:v>210</x:v>
      </x:c>
      <x:c r="DK24" s="31" t="n">
        <x:v>221</x:v>
      </x:c>
      <x:c r="DL24" s="31" t="n">
        <x:v>13</x:v>
      </x:c>
      <x:c r="DM24" s="31" t="n">
        <x:v>6</x:v>
      </x:c>
      <x:c r="DN24" s="31" t="n">
        <x:v>7</x:v>
      </x:c>
      <x:c r="DO24" s="31" t="n">
        <x:v>6</x:v>
      </x:c>
      <x:c r="DP24" s="31" t="n">
        <x:v>4</x:v>
      </x:c>
      <x:c r="DQ24" s="31" t="n">
        <x:v>2</x:v>
      </x:c>
      <x:c r="DR24" s="31" t="n">
        <x:v>26</x:v>
      </x:c>
      <x:c r="DS24" s="31" t="n">
        <x:v>26</x:v>
      </x:c>
      <x:c r="DT24" s="31" t="n">
        <x:v>0</x:v>
      </x:c>
      <x:c r="DU24" s="31" t="n">
        <x:v>6</x:v>
      </x:c>
      <x:c r="DV24" s="31" t="n">
        <x:v>6</x:v>
      </x:c>
      <x:c r="DW24" s="31" t="n">
        <x:v>0</x:v>
      </x:c>
      <x:c r="DX24" s="31" t="n">
        <x:v>4</x:v>
      </x:c>
      <x:c r="DY24" s="31" t="n">
        <x:v>1</x:v>
      </x:c>
      <x:c r="DZ24" s="31" t="n">
        <x:v>3</x:v>
      </x:c>
      <x:c r="EA24" s="31" t="n">
        <x:v>15</x:v>
      </x:c>
      <x:c r="EB24" s="31" t="n">
        <x:v>6</x:v>
      </x:c>
      <x:c r="EC24" s="31" t="n">
        <x:v>9</x:v>
      </x:c>
      <x:c r="ED24" s="31" t="n">
        <x:v>16</x:v>
      </x:c>
      <x:c r="EE24" s="31" t="n">
        <x:v>7</x:v>
      </x:c>
      <x:c r="EF24" s="31" t="n">
        <x:v>9</x:v>
      </x:c>
      <x:c r="EG24" s="31" t="n">
        <x:v>14</x:v>
      </x:c>
      <x:c r="EH24" s="31" t="n">
        <x:v>5</x:v>
      </x:c>
      <x:c r="EI24" s="31" t="n">
        <x:v>9</x:v>
      </x:c>
      <x:c r="EJ24" s="31" t="n">
        <x:v>12</x:v>
      </x:c>
      <x:c r="EK24" s="31" t="n">
        <x:v>5</x:v>
      </x:c>
      <x:c r="EL24" s="31" t="n">
        <x:v>7</x:v>
      </x:c>
      <x:c r="EM24" s="31" t="n">
        <x:v>932</x:v>
      </x:c>
      <x:c r="EN24" s="31" t="n">
        <x:v>460</x:v>
      </x:c>
      <x:c r="EO24" s="31" t="n">
        <x:v>472</x:v>
      </x:c>
      <x:c r="EP24" s="31" t="n">
        <x:v>801</x:v>
      </x:c>
      <x:c r="EQ24" s="31" t="n">
        <x:v>394</x:v>
      </x:c>
      <x:c r="ER24" s="31" t="n">
        <x:v>407</x:v>
      </x:c>
      <x:c r="ES24" s="31" t="n">
        <x:v>67</x:v>
      </x:c>
      <x:c r="ET24" s="31" t="n">
        <x:v>32</x:v>
      </x:c>
      <x:c r="EU24" s="31" t="n">
        <x:v>35</x:v>
      </x:c>
      <x:c r="EV24" s="31" t="n">
        <x:v>0</x:v>
      </x:c>
      <x:c r="EW24" s="31" t="n">
        <x:v>0</x:v>
      </x:c>
      <x:c r="EX24" s="31" t="n">
        <x:v>0</x:v>
      </x:c>
      <x:c r="EY24" s="31" t="n">
        <x:v>54</x:v>
      </x:c>
      <x:c r="EZ24" s="31" t="n">
        <x:v>30</x:v>
      </x:c>
      <x:c r="FA24" s="31" t="n">
        <x:v>24</x:v>
      </x:c>
      <x:c r="FB24" s="31" t="n">
        <x:v>10</x:v>
      </x:c>
      <x:c r="FC24" s="31" t="n">
        <x:v>4</x:v>
      </x:c>
      <x:c r="FD24" s="31" t="n">
        <x:v>6</x:v>
      </x:c>
      <x:c r="FE24" s="31" t="n">
        <x:v>462</x:v>
      </x:c>
      <x:c r="FF24" s="31" t="n">
        <x:v>462</x:v>
      </x:c>
      <x:c r="FG24" s="31" t="n">
        <x:v>320</x:v>
      </x:c>
      <x:c r="FH24" s="31" t="n">
        <x:v>82</x:v>
      </x:c>
      <x:c r="FI24" s="31" t="n">
        <x:v>60</x:v>
      </x:c>
      <x:c r="FJ24" s="31" t="n">
        <x:v>0</x:v>
      </x:c>
      <x:c r="FK24" s="31" t="n">
        <x:v>320</x:v>
      </x:c>
      <x:c r="FL24" s="31" t="n">
        <x:v>266</x:v>
      </x:c>
      <x:c r="FM24" s="31" t="n">
        <x:v>10</x:v>
      </x:c>
      <x:c r="FN24" s="31" t="n">
        <x:v>0</x:v>
      </x:c>
      <x:c r="FO24" s="31" t="n">
        <x:v>41</x:v>
      </x:c>
      <x:c r="FP24" s="31" t="n">
        <x:v>3</x:v>
      </x:c>
      <x:c r="FQ24" s="31" t="n">
        <x:v>320</x:v>
      </x:c>
      <x:c r="FR24" s="31" t="n">
        <x:v>276</x:v>
      </x:c>
      <x:c r="FS24" s="31" t="n">
        <x:v>0</x:v>
      </x:c>
      <x:c r="FT24" s="31" t="n">
        <x:v>9</x:v>
      </x:c>
      <x:c r="FU24" s="31" t="n">
        <x:v>0</x:v>
      </x:c>
      <x:c r="FV24" s="31" t="n">
        <x:v>35</x:v>
      </x:c>
      <x:c r="FW24" s="31" t="n">
        <x:v>320</x:v>
      </x:c>
      <x:c r="FX24" s="31" t="n">
        <x:v>248</x:v>
      </x:c>
      <x:c r="FY24" s="31" t="n">
        <x:v>6</x:v>
      </x:c>
      <x:c r="FZ24" s="31" t="n">
        <x:v>12</x:v>
      </x:c>
      <x:c r="GA24" s="31" t="n">
        <x:v>0</x:v>
      </x:c>
      <x:c r="GB24" s="31" t="n">
        <x:v>0</x:v>
      </x:c>
      <x:c r="GC24" s="31" t="n">
        <x:v>4</x:v>
      </x:c>
      <x:c r="GD24" s="31" t="n">
        <x:v>15</x:v>
      </x:c>
      <x:c r="GE24" s="31" t="n">
        <x:v>25</x:v>
      </x:c>
      <x:c r="GF24" s="31" t="n">
        <x:v>10</x:v>
      </x:c>
      <x:c r="GG24" s="31" t="n">
        <x:v>320</x:v>
      </x:c>
      <x:c r="GH24" s="31" t="n">
        <x:v>8</x:v>
      </x:c>
      <x:c r="GI24" s="31" t="n">
        <x:v>35</x:v>
      </x:c>
      <x:c r="GJ24" s="31" t="n">
        <x:v>208</x:v>
      </x:c>
      <x:c r="GK24" s="31" t="n">
        <x:v>0</x:v>
      </x:c>
      <x:c r="GL24" s="31" t="n">
        <x:v>7</x:v>
      </x:c>
      <x:c r="GM24" s="31" t="n">
        <x:v>1</x:v>
      </x:c>
      <x:c r="GN24" s="31" t="n">
        <x:v>61</x:v>
      </x:c>
      <x:c r="GO24" s="31" t="n">
        <x:v>320</x:v>
      </x:c>
      <x:c r="GP24" s="31" t="n">
        <x:v>116</x:v>
      </x:c>
      <x:c r="GQ24" s="31" t="n">
        <x:v>34</x:v>
      </x:c>
      <x:c r="GR24" s="31" t="n">
        <x:v>165</x:v>
      </x:c>
      <x:c r="GS24" s="31" t="n">
        <x:v>1</x:v>
      </x:c>
      <x:c r="GT24" s="31" t="n">
        <x:v>0</x:v>
      </x:c>
      <x:c r="GU24" s="31" t="n">
        <x:v>0</x:v>
      </x:c>
      <x:c r="GV24" s="31" t="n">
        <x:v>0</x:v>
      </x:c>
      <x:c r="GW24" s="31" t="n">
        <x:v>4</x:v>
      </x:c>
      <x:c r="GX24" s="31" t="n">
        <x:v>320</x:v>
      </x:c>
      <x:c r="GY24" s="31" t="n">
        <x:v>1</x:v>
      </x:c>
      <x:c r="GZ24" s="31" t="n">
        <x:v>0</x:v>
      </x:c>
      <x:c r="HA24" s="31" t="n">
        <x:v>17</x:v>
      </x:c>
      <x:c r="HB24" s="31" t="n">
        <x:v>1</x:v>
      </x:c>
      <x:c r="HC24" s="31" t="n">
        <x:v>275</x:v>
      </x:c>
      <x:c r="HD24" s="31" t="n">
        <x:v>25</x:v>
      </x:c>
      <x:c r="HE24" s="31" t="n">
        <x:v>1</x:v>
      </x:c>
      <x:c r="HF24" s="31" t="n">
        <x:v>320</x:v>
      </x:c>
      <x:c r="HG24" s="31" t="n">
        <x:v>203</x:v>
      </x:c>
      <x:c r="HH24" s="31" t="n">
        <x:v>144</x:v>
      </x:c>
      <x:c r="HI24" s="31" t="n">
        <x:v>263</x:v>
      </x:c>
      <x:c r="HJ24" s="31" t="n">
        <x:v>223</x:v>
      </x:c>
      <x:c r="HK24" s="31" t="str">
        <x:v>Ficha_INE_El_Cardon.pdf</x:v>
      </x:c>
      <x:c r="HL24" s="31" t="str">
        <x:v>Instituto Nacional de Estadística, Censo de Población y Vivienda 2024</x:v>
      </x:c>
    </x:row>
    <x:row r="25" ht="20" customHeight="1">
      <x:c r="A25" s="31" t="str">
        <x:v>Charagua-02</x:v>
      </x:c>
      <x:c r="B25" s="31" t="str">
        <x:v>Serranía Irenda</x:v>
      </x:c>
      <x:c r="C25" s="31" t="n">
        <x:v>25</x:v>
      </x:c>
      <x:c r="D25" s="31" t="str">
        <x:v>Sí</x:v>
      </x:c>
      <x:c r="E25" s="31" t="str">
        <x:v>SANTA CRUZ</x:v>
      </x:c>
      <x:c r="F25" s="31" t="str">
        <x:v>CORDILLERA</x:v>
      </x:c>
      <x:c r="G25" s="31" t="str">
        <x:v>CHARAGUA (AUTONOMÍA GUARANÍ</x:v>
      </x:c>
      <x:c r="H25" s="31" t="n">
        <x:v>765</x:v>
      </x:c>
      <x:c r="I25" s="31" t="n">
        <x:v>398</x:v>
      </x:c>
      <x:c r="J25" s="31" t="n">
        <x:v>367</x:v>
      </x:c>
      <x:c r="K25" s="31" t="n">
        <x:v>411</x:v>
      </x:c>
      <x:c r="L25" s="31" t="n">
        <x:v>206</x:v>
      </x:c>
      <x:c r="M25" s="31" t="n">
        <x:v>205</x:v>
      </x:c>
      <x:c r="N25" s="31" t="n">
        <x:v>212</x:v>
      </x:c>
      <x:c r="O25" s="31" t="n">
        <x:v>116</x:v>
      </x:c>
      <x:c r="P25" s="31" t="n">
        <x:v>96</x:v>
      </x:c>
      <x:c r="Q25" s="31" t="n">
        <x:v>104</x:v>
      </x:c>
      <x:c r="R25" s="31" t="n">
        <x:v>58</x:v>
      </x:c>
      <x:c r="S25" s="31" t="n">
        <x:v>46</x:v>
      </x:c>
      <x:c r="T25" s="31" t="n">
        <x:v>38</x:v>
      </x:c>
      <x:c r="U25" s="31" t="n">
        <x:v>18</x:v>
      </x:c>
      <x:c r="V25" s="31" t="n">
        <x:v>20</x:v>
      </x:c>
      <x:c r="W25" s="31" t="n">
        <x:v>765</x:v>
      </x:c>
      <x:c r="X25" s="31" t="n">
        <x:v>398</x:v>
      </x:c>
      <x:c r="Y25" s="31" t="n">
        <x:v>367</x:v>
      </x:c>
      <x:c r="Z25" s="31" t="n">
        <x:v>545</x:v>
      </x:c>
      <x:c r="AA25" s="31" t="n">
        <x:v>279</x:v>
      </x:c>
      <x:c r="AB25" s="31" t="n">
        <x:v>266</x:v>
      </x:c>
      <x:c r="AC25" s="31" t="n">
        <x:v>161</x:v>
      </x:c>
      <x:c r="AD25" s="31" t="n">
        <x:v>89</x:v>
      </x:c>
      <x:c r="AE25" s="31" t="n">
        <x:v>72</x:v>
      </x:c>
      <x:c r="AF25" s="31" t="n">
        <x:v>1</x:v>
      </x:c>
      <x:c r="AG25" s="31" t="n">
        <x:v>0</x:v>
      </x:c>
      <x:c r="AH25" s="31" t="n">
        <x:v>1</x:v>
      </x:c>
      <x:c r="AI25" s="31" t="n">
        <x:v>58</x:v>
      </x:c>
      <x:c r="AJ25" s="31" t="n">
        <x:v>30</x:v>
      </x:c>
      <x:c r="AK25" s="31" t="n">
        <x:v>28</x:v>
      </x:c>
      <x:c r="AL25" s="31" t="n">
        <x:v>765</x:v>
      </x:c>
      <x:c r="AM25" s="31" t="n">
        <x:v>398</x:v>
      </x:c>
      <x:c r="AN25" s="31" t="n">
        <x:v>367</x:v>
      </x:c>
      <x:c r="AO25" s="31" t="n">
        <x:v>652</x:v>
      </x:c>
      <x:c r="AP25" s="31" t="n">
        <x:v>342</x:v>
      </x:c>
      <x:c r="AQ25" s="31" t="n">
        <x:v>310</x:v>
      </x:c>
      <x:c r="AR25" s="31" t="n">
        <x:v>92</x:v>
      </x:c>
      <x:c r="AS25" s="31" t="n">
        <x:v>44</x:v>
      </x:c>
      <x:c r="AT25" s="31" t="n">
        <x:v>48</x:v>
      </x:c>
      <x:c r="AU25" s="31" t="n">
        <x:v>0</x:v>
      </x:c>
      <x:c r="AV25" s="31" t="n">
        <x:v>0</x:v>
      </x:c>
      <x:c r="AW25" s="31" t="n">
        <x:v>0</x:v>
      </x:c>
      <x:c r="AX25" s="31" t="n">
        <x:v>21</x:v>
      </x:c>
      <x:c r="AY25" s="31" t="n">
        <x:v>12</x:v>
      </x:c>
      <x:c r="AZ25" s="31" t="n">
        <x:v>9</x:v>
      </x:c>
      <x:c r="BA25" s="31" t="n">
        <x:v>360</x:v>
      </x:c>
      <x:c r="BB25" s="31" t="n">
        <x:v>193</x:v>
      </x:c>
      <x:c r="BC25" s="31" t="n">
        <x:v>167</x:v>
      </x:c>
      <x:c r="BD25" s="31" t="n">
        <x:v>18</x:v>
      </x:c>
      <x:c r="BE25" s="31" t="n">
        <x:v>9</x:v>
      </x:c>
      <x:c r="BF25" s="31" t="n">
        <x:v>9</x:v>
      </x:c>
      <x:c r="BG25" s="31" t="n">
        <x:v>175</x:v>
      </x:c>
      <x:c r="BH25" s="31" t="n">
        <x:v>83</x:v>
      </x:c>
      <x:c r="BI25" s="31" t="n">
        <x:v>92</x:v>
      </x:c>
      <x:c r="BJ25" s="31" t="n">
        <x:v>138</x:v>
      </x:c>
      <x:c r="BK25" s="31" t="n">
        <x:v>82</x:v>
      </x:c>
      <x:c r="BL25" s="31" t="n">
        <x:v>56</x:v>
      </x:c>
      <x:c r="BM25" s="31" t="n">
        <x:v>27</x:v>
      </x:c>
      <x:c r="BN25" s="31" t="n">
        <x:v>19</x:v>
      </x:c>
      <x:c r="BO25" s="31" t="n">
        <x:v>8</x:v>
      </x:c>
      <x:c r="BP25" s="31" t="n">
        <x:v>2</x:v>
      </x:c>
      <x:c r="BQ25" s="31" t="n">
        <x:v>0</x:v>
      </x:c>
      <x:c r="BR25" s="31" t="n">
        <x:v>2</x:v>
      </x:c>
      <x:c r="BS25" s="31" t="n">
        <x:v>294</x:v>
      </x:c>
      <x:c r="BT25" s="31" t="n">
        <x:v>193</x:v>
      </x:c>
      <x:c r="BU25" s="31" t="n">
        <x:v>101</x:v>
      </x:c>
      <x:c r="BV25" s="31" t="n">
        <x:v>55</x:v>
      </x:c>
      <x:c r="BW25" s="31" t="n">
        <x:v>47</x:v>
      </x:c>
      <x:c r="BX25" s="31" t="n">
        <x:v>8</x:v>
      </x:c>
      <x:c r="BY25" s="31" t="n">
        <x:v>119</x:v>
      </x:c>
      <x:c r="BZ25" s="31" t="n">
        <x:v>81</x:v>
      </x:c>
      <x:c r="CA25" s="31" t="n">
        <x:v>38</x:v>
      </x:c>
      <x:c r="CB25" s="31" t="n">
        <x:v>62</x:v>
      </x:c>
      <x:c r="CC25" s="31" t="n">
        <x:v>19</x:v>
      </x:c>
      <x:c r="CD25" s="31" t="n">
        <x:v>43</x:v>
      </x:c>
      <x:c r="CE25" s="31" t="n">
        <x:v>58</x:v>
      </x:c>
      <x:c r="CF25" s="31" t="n">
        <x:v>46</x:v>
      </x:c>
      <x:c r="CG25" s="31" t="n">
        <x:v>12</x:v>
      </x:c>
      <x:c r="CH25" s="31" t="n">
        <x:v>765</x:v>
      </x:c>
      <x:c r="CI25" s="31" t="n">
        <x:v>398</x:v>
      </x:c>
      <x:c r="CJ25" s="31" t="n">
        <x:v>367</x:v>
      </x:c>
      <x:c r="CK25" s="31" t="n">
        <x:v>718</x:v>
      </x:c>
      <x:c r="CL25" s="31" t="n">
        <x:v>374</x:v>
      </x:c>
      <x:c r="CM25" s="31" t="n">
        <x:v>344</x:v>
      </x:c>
      <x:c r="CN25" s="31" t="n">
        <x:v>19</x:v>
      </x:c>
      <x:c r="CO25" s="31" t="n">
        <x:v>14</x:v>
      </x:c>
      <x:c r="CP25" s="31" t="n">
        <x:v>5</x:v>
      </x:c>
      <x:c r="CQ25" s="31" t="n">
        <x:v>19</x:v>
      </x:c>
      <x:c r="CR25" s="31" t="n">
        <x:v>10</x:v>
      </x:c>
      <x:c r="CS25" s="31" t="n">
        <x:v>9</x:v>
      </x:c>
      <x:c r="CT25" s="31" t="n">
        <x:v>109</x:v>
      </x:c>
      <x:c r="CU25" s="31" t="n">
        <x:v>54</x:v>
      </x:c>
      <x:c r="CV25" s="31" t="n">
        <x:v>55</x:v>
      </x:c>
      <x:c r="CW25" s="31" t="n">
        <x:v>81</x:v>
      </x:c>
      <x:c r="CX25" s="31" t="n">
        <x:v>50</x:v>
      </x:c>
      <x:c r="CY25" s="31" t="n">
        <x:v>31</x:v>
      </x:c>
      <x:c r="CZ25" s="31" t="n">
        <x:v>84</x:v>
      </x:c>
      <x:c r="DA25" s="31" t="n">
        <x:v>51</x:v>
      </x:c>
      <x:c r="DB25" s="31" t="n">
        <x:v>33</x:v>
      </x:c>
      <x:c r="DC25" s="31" t="n">
        <x:v>393</x:v>
      </x:c>
      <x:c r="DD25" s="31" t="n">
        <x:v>212</x:v>
      </x:c>
      <x:c r="DE25" s="31" t="n">
        <x:v>181</x:v>
      </x:c>
      <x:c r="DF25" s="31" t="n">
        <x:v>294</x:v>
      </x:c>
      <x:c r="DG25" s="31" t="n">
        <x:v>193</x:v>
      </x:c>
      <x:c r="DH25" s="31" t="n">
        <x:v>101</x:v>
      </x:c>
      <x:c r="DI25" s="31" t="n">
        <x:v>225</x:v>
      </x:c>
      <x:c r="DJ25" s="31" t="n">
        <x:v>157</x:v>
      </x:c>
      <x:c r="DK25" s="31" t="n">
        <x:v>68</x:v>
      </x:c>
      <x:c r="DL25" s="31" t="n">
        <x:v>5</x:v>
      </x:c>
      <x:c r="DM25" s="31" t="n">
        <x:v>2</x:v>
      </x:c>
      <x:c r="DN25" s="31" t="n">
        <x:v>3</x:v>
      </x:c>
      <x:c r="DO25" s="31" t="n">
        <x:v>13</x:v>
      </x:c>
      <x:c r="DP25" s="31" t="n">
        <x:v>9</x:v>
      </x:c>
      <x:c r="DQ25" s="31" t="n">
        <x:v>4</x:v>
      </x:c>
      <x:c r="DR25" s="31" t="n">
        <x:v>14</x:v>
      </x:c>
      <x:c r="DS25" s="31" t="n">
        <x:v>14</x:v>
      </x:c>
      <x:c r="DT25" s="31" t="n">
        <x:v>0</x:v>
      </x:c>
      <x:c r="DU25" s="31" t="n">
        <x:v>2</x:v>
      </x:c>
      <x:c r="DV25" s="31" t="n">
        <x:v>2</x:v>
      </x:c>
      <x:c r="DW25" s="31" t="n">
        <x:v>0</x:v>
      </x:c>
      <x:c r="DX25" s="31" t="n">
        <x:v>8</x:v>
      </x:c>
      <x:c r="DY25" s="31" t="n">
        <x:v>1</x:v>
      </x:c>
      <x:c r="DZ25" s="31" t="n">
        <x:v>7</x:v>
      </x:c>
      <x:c r="EA25" s="31" t="n">
        <x:v>3</x:v>
      </x:c>
      <x:c r="EB25" s="31" t="n">
        <x:v>2</x:v>
      </x:c>
      <x:c r="EC25" s="31" t="n">
        <x:v>1</x:v>
      </x:c>
      <x:c r="ED25" s="31" t="n">
        <x:v>2</x:v>
      </x:c>
      <x:c r="EE25" s="31" t="n">
        <x:v>1</x:v>
      </x:c>
      <x:c r="EF25" s="31" t="n">
        <x:v>1</x:v>
      </x:c>
      <x:c r="EG25" s="31" t="n">
        <x:v>18</x:v>
      </x:c>
      <x:c r="EH25" s="31" t="n">
        <x:v>5</x:v>
      </x:c>
      <x:c r="EI25" s="31" t="n">
        <x:v>13</x:v>
      </x:c>
      <x:c r="EJ25" s="31" t="n">
        <x:v>4</x:v>
      </x:c>
      <x:c r="EK25" s="31" t="n">
        <x:v>0</x:v>
      </x:c>
      <x:c r="EL25" s="31" t="n">
        <x:v>4</x:v>
      </x:c>
      <x:c r="EM25" s="31" t="n">
        <x:v>744</x:v>
      </x:c>
      <x:c r="EN25" s="31" t="n">
        <x:v>386</x:v>
      </x:c>
      <x:c r="EO25" s="31" t="n">
        <x:v>358</x:v>
      </x:c>
      <x:c r="EP25" s="31" t="n">
        <x:v>515</x:v>
      </x:c>
      <x:c r="EQ25" s="31" t="n">
        <x:v>263</x:v>
      </x:c>
      <x:c r="ER25" s="31" t="n">
        <x:v>252</x:v>
      </x:c>
      <x:c r="ES25" s="31" t="n">
        <x:v>19</x:v>
      </x:c>
      <x:c r="ET25" s="31" t="n">
        <x:v>13</x:v>
      </x:c>
      <x:c r="EU25" s="31" t="n">
        <x:v>6</x:v>
      </x:c>
      <x:c r="EV25" s="31" t="n">
        <x:v>1</x:v>
      </x:c>
      <x:c r="EW25" s="31" t="n">
        <x:v>1</x:v>
      </x:c>
      <x:c r="EX25" s="31" t="n">
        <x:v>0</x:v>
      </x:c>
      <x:c r="EY25" s="31" t="n">
        <x:v>194</x:v>
      </x:c>
      <x:c r="EZ25" s="31" t="n">
        <x:v>104</x:v>
      </x:c>
      <x:c r="FA25" s="31" t="n">
        <x:v>90</x:v>
      </x:c>
      <x:c r="FB25" s="31" t="n">
        <x:v>15</x:v>
      </x:c>
      <x:c r="FC25" s="31" t="n">
        <x:v>5</x:v>
      </x:c>
      <x:c r="FD25" s="31" t="n">
        <x:v>10</x:v>
      </x:c>
      <x:c r="FE25" s="31" t="n">
        <x:v>314</x:v>
      </x:c>
      <x:c r="FF25" s="31" t="n">
        <x:v>314</x:v>
      </x:c>
      <x:c r="FG25" s="31" t="n">
        <x:v>172</x:v>
      </x:c>
      <x:c r="FH25" s="31" t="n">
        <x:v>131</x:v>
      </x:c>
      <x:c r="FI25" s="31" t="n">
        <x:v>11</x:v>
      </x:c>
      <x:c r="FJ25" s="31" t="n">
        <x:v>0</x:v>
      </x:c>
      <x:c r="FK25" s="31" t="n">
        <x:v>172</x:v>
      </x:c>
      <x:c r="FL25" s="31" t="n">
        <x:v>158</x:v>
      </x:c>
      <x:c r="FM25" s="31" t="n">
        <x:v>0</x:v>
      </x:c>
      <x:c r="FN25" s="31" t="n">
        <x:v>0</x:v>
      </x:c>
      <x:c r="FO25" s="31" t="n">
        <x:v>11</x:v>
      </x:c>
      <x:c r="FP25" s="31" t="n">
        <x:v>3</x:v>
      </x:c>
      <x:c r="FQ25" s="31" t="n">
        <x:v>172</x:v>
      </x:c>
      <x:c r="FR25" s="31" t="n">
        <x:v>71</x:v>
      </x:c>
      <x:c r="FS25" s="31" t="n">
        <x:v>0</x:v>
      </x:c>
      <x:c r="FT25" s="31" t="n">
        <x:v>36</x:v>
      </x:c>
      <x:c r="FU25" s="31" t="n">
        <x:v>2</x:v>
      </x:c>
      <x:c r="FV25" s="31" t="n">
        <x:v>63</x:v>
      </x:c>
      <x:c r="FW25" s="31" t="n">
        <x:v>172</x:v>
      </x:c>
      <x:c r="FX25" s="31" t="n">
        <x:v>57</x:v>
      </x:c>
      <x:c r="FY25" s="31" t="n">
        <x:v>10</x:v>
      </x:c>
      <x:c r="FZ25" s="31" t="n">
        <x:v>0</x:v>
      </x:c>
      <x:c r="GA25" s="31" t="n">
        <x:v>1</x:v>
      </x:c>
      <x:c r="GB25" s="31" t="n">
        <x:v>16</x:v>
      </x:c>
      <x:c r="GC25" s="31" t="n">
        <x:v>34</x:v>
      </x:c>
      <x:c r="GD25" s="31" t="n">
        <x:v>26</x:v>
      </x:c>
      <x:c r="GE25" s="31" t="n">
        <x:v>28</x:v>
      </x:c>
      <x:c r="GF25" s="31" t="n">
        <x:v>0</x:v>
      </x:c>
      <x:c r="GG25" s="31" t="n">
        <x:v>172</x:v>
      </x:c>
      <x:c r="GH25" s="31" t="n">
        <x:v>6</x:v>
      </x:c>
      <x:c r="GI25" s="31" t="n">
        <x:v>0</x:v>
      </x:c>
      <x:c r="GJ25" s="31" t="n">
        <x:v>69</x:v>
      </x:c>
      <x:c r="GK25" s="31" t="n">
        <x:v>2</x:v>
      </x:c>
      <x:c r="GL25" s="31" t="n">
        <x:v>0</x:v>
      </x:c>
      <x:c r="GM25" s="31" t="n">
        <x:v>3</x:v>
      </x:c>
      <x:c r="GN25" s="31" t="n">
        <x:v>92</x:v>
      </x:c>
      <x:c r="GO25" s="31" t="n">
        <x:v>172</x:v>
      </x:c>
      <x:c r="GP25" s="31" t="n">
        <x:v>1</x:v>
      </x:c>
      <x:c r="GQ25" s="31" t="n">
        <x:v>1</x:v>
      </x:c>
      <x:c r="GR25" s="31" t="n">
        <x:v>167</x:v>
      </x:c>
      <x:c r="GS25" s="31" t="n">
        <x:v>2</x:v>
      </x:c>
      <x:c r="GT25" s="31" t="n">
        <x:v>0</x:v>
      </x:c>
      <x:c r="GU25" s="31" t="n">
        <x:v>0</x:v>
      </x:c>
      <x:c r="GV25" s="31" t="n">
        <x:v>1</x:v>
      </x:c>
      <x:c r="GW25" s="31" t="n">
        <x:v>0</x:v>
      </x:c>
      <x:c r="GX25" s="31" t="n">
        <x:v>172</x:v>
      </x:c>
      <x:c r="GY25" s="31" t="n">
        <x:v>0</x:v>
      </x:c>
      <x:c r="GZ25" s="31" t="n">
        <x:v>1</x:v>
      </x:c>
      <x:c r="HA25" s="31" t="n">
        <x:v>7</x:v>
      </x:c>
      <x:c r="HB25" s="31" t="n">
        <x:v>10</x:v>
      </x:c>
      <x:c r="HC25" s="31" t="n">
        <x:v>141</x:v>
      </x:c>
      <x:c r="HD25" s="31" t="n">
        <x:v>12</x:v>
      </x:c>
      <x:c r="HE25" s="31" t="n">
        <x:v>1</x:v>
      </x:c>
      <x:c r="HF25" s="31" t="n">
        <x:v>172</x:v>
      </x:c>
      <x:c r="HG25" s="31" t="n">
        <x:v>47</x:v>
      </x:c>
      <x:c r="HH25" s="31" t="n">
        <x:v>22</x:v>
      </x:c>
      <x:c r="HI25" s="31" t="n">
        <x:v>102</x:v>
      </x:c>
      <x:c r="HJ25" s="31" t="n">
        <x:v>42</x:v>
      </x:c>
      <x:c r="HK25" s="31" t="str">
        <x:v>Ficha_INE_Serrania_Irenda.pdf</x:v>
      </x:c>
      <x:c r="HL25" s="31" t="str">
        <x:v>Instituto Nacional de Estadística, Censo de Población y Vivienda 2024</x:v>
      </x:c>
    </x:row>
    <x:row r="26" ht="20" customHeight="1">
      <x:c r="A26" s="31" t="str">
        <x:v>Charagua-05</x:v>
      </x:c>
      <x:c r="B26" s="31" t="str">
        <x:v>Ñembi Guasu</x:v>
      </x:c>
      <x:c r="C26" s="31" t="n">
        <x:v>27</x:v>
      </x:c>
      <x:c r="D26" s="31" t="str">
        <x:v>Sí</x:v>
      </x:c>
      <x:c r="E26" s="31" t="str">
        <x:v>SANTA CRUZ</x:v>
      </x:c>
      <x:c r="F26" s="31" t="str">
        <x:v>CORDILLERA</x:v>
      </x:c>
      <x:c r="G26" s="31" t="str">
        <x:v>CHARAGUA (AUTONOMÍA GUARANÍ</x:v>
      </x:c>
      <x:c r="H26" s="31" t="n">
        <x:v>247</x:v>
      </x:c>
      <x:c r="I26" s="31" t="n">
        <x:v>159</x:v>
      </x:c>
      <x:c r="J26" s="31" t="n">
        <x:v>88</x:v>
      </x:c>
      <x:c r="K26" s="31" t="n">
        <x:v>61</x:v>
      </x:c>
      <x:c r="L26" s="31" t="n">
        <x:v>38</x:v>
      </x:c>
      <x:c r="M26" s="31" t="n">
        <x:v>23</x:v>
      </x:c>
      <x:c r="N26" s="31" t="n">
        <x:v>114</x:v>
      </x:c>
      <x:c r="O26" s="31" t="n">
        <x:v>82</x:v>
      </x:c>
      <x:c r="P26" s="31" t="n">
        <x:v>32</x:v>
      </x:c>
      <x:c r="Q26" s="31" t="n">
        <x:v>58</x:v>
      </x:c>
      <x:c r="R26" s="31" t="n">
        <x:v>33</x:v>
      </x:c>
      <x:c r="S26" s="31" t="n">
        <x:v>25</x:v>
      </x:c>
      <x:c r="T26" s="31" t="n">
        <x:v>14</x:v>
      </x:c>
      <x:c r="U26" s="31" t="n">
        <x:v>6</x:v>
      </x:c>
      <x:c r="V26" s="31" t="n">
        <x:v>8</x:v>
      </x:c>
      <x:c r="W26" s="31" t="n">
        <x:v>247</x:v>
      </x:c>
      <x:c r="X26" s="31" t="n">
        <x:v>159</x:v>
      </x:c>
      <x:c r="Y26" s="31" t="n">
        <x:v>88</x:v>
      </x:c>
      <x:c r="Z26" s="31" t="n">
        <x:v>29</x:v>
      </x:c>
      <x:c r="AA26" s="31" t="n">
        <x:v>18</x:v>
      </x:c>
      <x:c r="AB26" s="31" t="n">
        <x:v>11</x:v>
      </x:c>
      <x:c r="AC26" s="31" t="n">
        <x:v>212</x:v>
      </x:c>
      <x:c r="AD26" s="31" t="n">
        <x:v>139</x:v>
      </x:c>
      <x:c r="AE26" s="31" t="n">
        <x:v>73</x:v>
      </x:c>
      <x:c r="AF26" s="31" t="n">
        <x:v>2</x:v>
      </x:c>
      <x:c r="AG26" s="31" t="n">
        <x:v>2</x:v>
      </x:c>
      <x:c r="AH26" s="31" t="n">
        <x:v>0</x:v>
      </x:c>
      <x:c r="AI26" s="31" t="n">
        <x:v>4</x:v>
      </x:c>
      <x:c r="AJ26" s="31" t="n">
        <x:v>0</x:v>
      </x:c>
      <x:c r="AK26" s="31" t="n">
        <x:v>4</x:v>
      </x:c>
      <x:c r="AL26" s="31" t="n">
        <x:v>247</x:v>
      </x:c>
      <x:c r="AM26" s="31" t="n">
        <x:v>159</x:v>
      </x:c>
      <x:c r="AN26" s="31" t="n">
        <x:v>88</x:v>
      </x:c>
      <x:c r="AO26" s="31" t="n">
        <x:v>234</x:v>
      </x:c>
      <x:c r="AP26" s="31" t="n">
        <x:v>153</x:v>
      </x:c>
      <x:c r="AQ26" s="31" t="n">
        <x:v>81</x:v>
      </x:c>
      <x:c r="AR26" s="31" t="n">
        <x:v>9</x:v>
      </x:c>
      <x:c r="AS26" s="31" t="n">
        <x:v>4</x:v>
      </x:c>
      <x:c r="AT26" s="31" t="n">
        <x:v>5</x:v>
      </x:c>
      <x:c r="AU26" s="31" t="n">
        <x:v>0</x:v>
      </x:c>
      <x:c r="AV26" s="31" t="n">
        <x:v>0</x:v>
      </x:c>
      <x:c r="AW26" s="31" t="n">
        <x:v>0</x:v>
      </x:c>
      <x:c r="AX26" s="31" t="n">
        <x:v>4</x:v>
      </x:c>
      <x:c r="AY26" s="31" t="n">
        <x:v>2</x:v>
      </x:c>
      <x:c r="AZ26" s="31" t="n">
        <x:v>2</x:v>
      </x:c>
      <x:c r="BA26" s="31" t="n">
        <x:v>191</x:v>
      </x:c>
      <x:c r="BB26" s="31" t="n">
        <x:v>126</x:v>
      </x:c>
      <x:c r="BC26" s="31" t="n">
        <x:v>65</x:v>
      </x:c>
      <x:c r="BD26" s="31" t="n">
        <x:v>9</x:v>
      </x:c>
      <x:c r="BE26" s="31" t="n">
        <x:v>2</x:v>
      </x:c>
      <x:c r="BF26" s="31" t="n">
        <x:v>7</x:v>
      </x:c>
      <x:c r="BG26" s="31" t="n">
        <x:v>37</x:v>
      </x:c>
      <x:c r="BH26" s="31" t="n">
        <x:v>21</x:v>
      </x:c>
      <x:c r="BI26" s="31" t="n">
        <x:v>16</x:v>
      </x:c>
      <x:c r="BJ26" s="31" t="n">
        <x:v>121</x:v>
      </x:c>
      <x:c r="BK26" s="31" t="n">
        <x:v>85</x:v>
      </x:c>
      <x:c r="BL26" s="31" t="n">
        <x:v>36</x:v>
      </x:c>
      <x:c r="BM26" s="31" t="n">
        <x:v>22</x:v>
      </x:c>
      <x:c r="BN26" s="31" t="n">
        <x:v>16</x:v>
      </x:c>
      <x:c r="BO26" s="31" t="n">
        <x:v>6</x:v>
      </x:c>
      <x:c r="BP26" s="31" t="n">
        <x:v>2</x:v>
      </x:c>
      <x:c r="BQ26" s="31" t="n">
        <x:v>2</x:v>
      </x:c>
      <x:c r="BR26" s="31" t="n">
        <x:v>0</x:v>
      </x:c>
      <x:c r="BS26" s="31" t="n">
        <x:v>176</x:v>
      </x:c>
      <x:c r="BT26" s="31" t="n">
        <x:v>116</x:v>
      </x:c>
      <x:c r="BU26" s="31" t="n">
        <x:v>60</x:v>
      </x:c>
      <x:c r="BV26" s="31" t="n">
        <x:v>16</x:v>
      </x:c>
      <x:c r="BW26" s="31" t="n">
        <x:v>13</x:v>
      </x:c>
      <x:c r="BX26" s="31" t="n">
        <x:v>3</x:v>
      </x:c>
      <x:c r="BY26" s="31" t="n">
        <x:v>130</x:v>
      </x:c>
      <x:c r="BZ26" s="31" t="n">
        <x:v>84</x:v>
      </x:c>
      <x:c r="CA26" s="31" t="n">
        <x:v>46</x:v>
      </x:c>
      <x:c r="CB26" s="31" t="n">
        <x:v>15</x:v>
      </x:c>
      <x:c r="CC26" s="31" t="n">
        <x:v>9</x:v>
      </x:c>
      <x:c r="CD26" s="31" t="n">
        <x:v>6</x:v>
      </x:c>
      <x:c r="CE26" s="31" t="n">
        <x:v>15</x:v>
      </x:c>
      <x:c r="CF26" s="31" t="n">
        <x:v>10</x:v>
      </x:c>
      <x:c r="CG26" s="31" t="n">
        <x:v>5</x:v>
      </x:c>
      <x:c r="CH26" s="31" t="n">
        <x:v>247</x:v>
      </x:c>
      <x:c r="CI26" s="31" t="n">
        <x:v>159</x:v>
      </x:c>
      <x:c r="CJ26" s="31" t="n">
        <x:v>88</x:v>
      </x:c>
      <x:c r="CK26" s="31" t="n">
        <x:v>169</x:v>
      </x:c>
      <x:c r="CL26" s="31" t="n">
        <x:v>98</x:v>
      </x:c>
      <x:c r="CM26" s="31" t="n">
        <x:v>71</x:v>
      </x:c>
      <x:c r="CN26" s="31" t="n">
        <x:v>9</x:v>
      </x:c>
      <x:c r="CO26" s="31" t="n">
        <x:v>7</x:v>
      </x:c>
      <x:c r="CP26" s="31" t="n">
        <x:v>2</x:v>
      </x:c>
      <x:c r="CQ26" s="31" t="n">
        <x:v>19</x:v>
      </x:c>
      <x:c r="CR26" s="31" t="n">
        <x:v>12</x:v>
      </x:c>
      <x:c r="CS26" s="31" t="n">
        <x:v>7</x:v>
      </x:c>
      <x:c r="CT26" s="31" t="n">
        <x:v>10</x:v>
      </x:c>
      <x:c r="CU26" s="31" t="n">
        <x:v>5</x:v>
      </x:c>
      <x:c r="CV26" s="31" t="n">
        <x:v>5</x:v>
      </x:c>
      <x:c r="CW26" s="31" t="n">
        <x:v>55</x:v>
      </x:c>
      <x:c r="CX26" s="31" t="n">
        <x:v>30</x:v>
      </x:c>
      <x:c r="CY26" s="31" t="n">
        <x:v>25</x:v>
      </x:c>
      <x:c r="CZ26" s="31" t="n">
        <x:v>84</x:v>
      </x:c>
      <x:c r="DA26" s="31" t="n">
        <x:v>50</x:v>
      </x:c>
      <x:c r="DB26" s="31" t="n">
        <x:v>34</x:v>
      </x:c>
      <x:c r="DC26" s="31" t="n">
        <x:v>187</x:v>
      </x:c>
      <x:c r="DD26" s="31" t="n">
        <x:v>116</x:v>
      </x:c>
      <x:c r="DE26" s="31" t="n">
        <x:v>71</x:v>
      </x:c>
      <x:c r="DF26" s="31" t="n">
        <x:v>176</x:v>
      </x:c>
      <x:c r="DG26" s="31" t="n">
        <x:v>116</x:v>
      </x:c>
      <x:c r="DH26" s="31" t="n">
        <x:v>60</x:v>
      </x:c>
      <x:c r="DI26" s="31" t="n">
        <x:v>143</x:v>
      </x:c>
      <x:c r="DJ26" s="31" t="n">
        <x:v>92</x:v>
      </x:c>
      <x:c r="DK26" s="31" t="n">
        <x:v>51</x:v>
      </x:c>
      <x:c r="DL26" s="31" t="n">
        <x:v>8</x:v>
      </x:c>
      <x:c r="DM26" s="31" t="n">
        <x:v>5</x:v>
      </x:c>
      <x:c r="DN26" s="31" t="n">
        <x:v>3</x:v>
      </x:c>
      <x:c r="DO26" s="31" t="n">
        <x:v>3</x:v>
      </x:c>
      <x:c r="DP26" s="31" t="n">
        <x:v>2</x:v>
      </x:c>
      <x:c r="DQ26" s="31" t="n">
        <x:v>1</x:v>
      </x:c>
      <x:c r="DR26" s="31" t="n">
        <x:v>9</x:v>
      </x:c>
      <x:c r="DS26" s="31" t="n">
        <x:v>9</x:v>
      </x:c>
      <x:c r="DT26" s="31" t="n">
        <x:v>0</x:v>
      </x:c>
      <x:c r="DU26" s="31" t="n">
        <x:v>2</x:v>
      </x:c>
      <x:c r="DV26" s="31" t="n">
        <x:v>2</x:v>
      </x:c>
      <x:c r="DW26" s="31" t="n">
        <x:v>0</x:v>
      </x:c>
      <x:c r="DX26" s="31" t="n">
        <x:v>2</x:v>
      </x:c>
      <x:c r="DY26" s="31" t="n">
        <x:v>0</x:v>
      </x:c>
      <x:c r="DZ26" s="31" t="n">
        <x:v>2</x:v>
      </x:c>
      <x:c r="EA26" s="31" t="n">
        <x:v>0</x:v>
      </x:c>
      <x:c r="EB26" s="31" t="n">
        <x:v>0</x:v>
      </x:c>
      <x:c r="EC26" s="31" t="n">
        <x:v>0</x:v>
      </x:c>
      <x:c r="ED26" s="31" t="n">
        <x:v>0</x:v>
      </x:c>
      <x:c r="EE26" s="31" t="n">
        <x:v>0</x:v>
      </x:c>
      <x:c r="EF26" s="31" t="n">
        <x:v>0</x:v>
      </x:c>
      <x:c r="EG26" s="31" t="n">
        <x:v>7</x:v>
      </x:c>
      <x:c r="EH26" s="31" t="n">
        <x:v>6</x:v>
      </x:c>
      <x:c r="EI26" s="31" t="n">
        <x:v>1</x:v>
      </x:c>
      <x:c r="EJ26" s="31" t="n">
        <x:v>2</x:v>
      </x:c>
      <x:c r="EK26" s="31" t="n">
        <x:v>0</x:v>
      </x:c>
      <x:c r="EL26" s="31" t="n">
        <x:v>2</x:v>
      </x:c>
      <x:c r="EM26" s="31" t="n">
        <x:v>243</x:v>
      </x:c>
      <x:c r="EN26" s="31" t="n">
        <x:v>157</x:v>
      </x:c>
      <x:c r="EO26" s="31" t="n">
        <x:v>86</x:v>
      </x:c>
      <x:c r="EP26" s="31" t="n">
        <x:v>166</x:v>
      </x:c>
      <x:c r="EQ26" s="31" t="n">
        <x:v>93</x:v>
      </x:c>
      <x:c r="ER26" s="31" t="n">
        <x:v>73</x:v>
      </x:c>
      <x:c r="ES26" s="31" t="n">
        <x:v>11</x:v>
      </x:c>
      <x:c r="ET26" s="31" t="n">
        <x:v>11</x:v>
      </x:c>
      <x:c r="EU26" s="31" t="n">
        <x:v>0</x:v>
      </x:c>
      <x:c r="EV26" s="31" t="n">
        <x:v>1</x:v>
      </x:c>
      <x:c r="EW26" s="31" t="n">
        <x:v>1</x:v>
      </x:c>
      <x:c r="EX26" s="31" t="n">
        <x:v>0</x:v>
      </x:c>
      <x:c r="EY26" s="31" t="n">
        <x:v>55</x:v>
      </x:c>
      <x:c r="EZ26" s="31" t="n">
        <x:v>44</x:v>
      </x:c>
      <x:c r="FA26" s="31" t="n">
        <x:v>11</x:v>
      </x:c>
      <x:c r="FB26" s="31" t="n">
        <x:v>10</x:v>
      </x:c>
      <x:c r="FC26" s="31" t="n">
        <x:v>8</x:v>
      </x:c>
      <x:c r="FD26" s="31" t="n">
        <x:v>2</x:v>
      </x:c>
      <x:c r="FE26" s="31" t="n">
        <x:v>140</x:v>
      </x:c>
      <x:c r="FF26" s="31" t="n">
        <x:v>139</x:v>
      </x:c>
      <x:c r="FG26" s="31" t="n">
        <x:v>103</x:v>
      </x:c>
      <x:c r="FH26" s="31" t="n">
        <x:v>36</x:v>
      </x:c>
      <x:c r="FI26" s="31" t="n">
        <x:v>0</x:v>
      </x:c>
      <x:c r="FJ26" s="31" t="n">
        <x:v>1</x:v>
      </x:c>
      <x:c r="FK26" s="31" t="n">
        <x:v>103</x:v>
      </x:c>
      <x:c r="FL26" s="31" t="n">
        <x:v>86</x:v>
      </x:c>
      <x:c r="FM26" s="31" t="n">
        <x:v>0</x:v>
      </x:c>
      <x:c r="FN26" s="31" t="n">
        <x:v>0</x:v>
      </x:c>
      <x:c r="FO26" s="31" t="n">
        <x:v>2</x:v>
      </x:c>
      <x:c r="FP26" s="31" t="n">
        <x:v>15</x:v>
      </x:c>
      <x:c r="FQ26" s="31" t="n">
        <x:v>103</x:v>
      </x:c>
      <x:c r="FR26" s="31" t="n">
        <x:v>1</x:v>
      </x:c>
      <x:c r="FS26" s="31" t="n">
        <x:v>3</x:v>
      </x:c>
      <x:c r="FT26" s="31" t="n">
        <x:v>11</x:v>
      </x:c>
      <x:c r="FU26" s="31" t="n">
        <x:v>5</x:v>
      </x:c>
      <x:c r="FV26" s="31" t="n">
        <x:v>83</x:v>
      </x:c>
      <x:c r="FW26" s="31" t="n">
        <x:v>103</x:v>
      </x:c>
      <x:c r="FX26" s="31" t="n">
        <x:v>0</x:v>
      </x:c>
      <x:c r="FY26" s="31" t="n">
        <x:v>0</x:v>
      </x:c>
      <x:c r="FZ26" s="31" t="n">
        <x:v>0</x:v>
      </x:c>
      <x:c r="GA26" s="31" t="n">
        <x:v>7</x:v>
      </x:c>
      <x:c r="GB26" s="31" t="n">
        <x:v>2</x:v>
      </x:c>
      <x:c r="GC26" s="31" t="n">
        <x:v>5</x:v>
      </x:c>
      <x:c r="GD26" s="31" t="n">
        <x:v>2</x:v>
      </x:c>
      <x:c r="GE26" s="31" t="n">
        <x:v>84</x:v>
      </x:c>
      <x:c r="GF26" s="31" t="n">
        <x:v>3</x:v>
      </x:c>
      <x:c r="GG26" s="31" t="n">
        <x:v>103</x:v>
      </x:c>
      <x:c r="GH26" s="31" t="n">
        <x:v>0</x:v>
      </x:c>
      <x:c r="GI26" s="31" t="n">
        <x:v>0</x:v>
      </x:c>
      <x:c r="GJ26" s="31" t="n">
        <x:v>24</x:v>
      </x:c>
      <x:c r="GK26" s="31" t="n">
        <x:v>0</x:v>
      </x:c>
      <x:c r="GL26" s="31" t="n">
        <x:v>0</x:v>
      </x:c>
      <x:c r="GM26" s="31" t="n">
        <x:v>2</x:v>
      </x:c>
      <x:c r="GN26" s="31" t="n">
        <x:v>77</x:v>
      </x:c>
      <x:c r="GO26" s="31" t="n">
        <x:v>103</x:v>
      </x:c>
      <x:c r="GP26" s="31" t="n">
        <x:v>1</x:v>
      </x:c>
      <x:c r="GQ26" s="31" t="n">
        <x:v>0</x:v>
      </x:c>
      <x:c r="GR26" s="31" t="n">
        <x:v>101</x:v>
      </x:c>
      <x:c r="GS26" s="31" t="n">
        <x:v>0</x:v>
      </x:c>
      <x:c r="GT26" s="31" t="n">
        <x:v>0</x:v>
      </x:c>
      <x:c r="GU26" s="31" t="n">
        <x:v>1</x:v>
      </x:c>
      <x:c r="GV26" s="31" t="n">
        <x:v>0</x:v>
      </x:c>
      <x:c r="GW26" s="31" t="n">
        <x:v>0</x:v>
      </x:c>
      <x:c r="GX26" s="31" t="n">
        <x:v>103</x:v>
      </x:c>
      <x:c r="GY26" s="31" t="n">
        <x:v>0</x:v>
      </x:c>
      <x:c r="GZ26" s="31" t="n">
        <x:v>1</x:v>
      </x:c>
      <x:c r="HA26" s="31" t="n">
        <x:v>0</x:v>
      </x:c>
      <x:c r="HB26" s="31" t="n">
        <x:v>0</x:v>
      </x:c>
      <x:c r="HC26" s="31" t="n">
        <x:v>25</x:v>
      </x:c>
      <x:c r="HD26" s="31" t="n">
        <x:v>73</x:v>
      </x:c>
      <x:c r="HE26" s="31" t="n">
        <x:v>4</x:v>
      </x:c>
      <x:c r="HF26" s="31" t="n">
        <x:v>103</x:v>
      </x:c>
      <x:c r="HG26" s="31" t="n">
        <x:v>32</x:v>
      </x:c>
      <x:c r="HH26" s="31" t="n">
        <x:v>1</x:v>
      </x:c>
      <x:c r="HI26" s="31" t="n">
        <x:v>38</x:v>
      </x:c>
      <x:c r="HJ26" s="31" t="n">
        <x:v>19</x:v>
      </x:c>
      <x:c r="HK26" s="31" t="str">
        <x:v>Ficha_INE_Nembi_Guasu.pdf</x:v>
      </x:c>
      <x:c r="HL26" s="31" t="str">
        <x:v>Instituto Nacional de Estadística, Censo de Población y Vivienda 2024</x:v>
      </x:c>
    </x:row>
    <x:row r="27" ht="20" customHeight="1">
      <x:c r="A27" s="31" t="str">
        <x:v>AP-0504</x:v>
      </x:c>
      <x:c r="B27" s="31" t="str">
        <x:v>Eduardo Avaroa</x:v>
      </x:c>
      <x:c r="C27" s="31" t="n">
        <x:v>11</x:v>
      </x:c>
      <x:c r="D27" s="31" t="str">
        <x:v>Sí</x:v>
      </x:c>
      <x:c r="E27" s="31" t="str">
        <x:v>POTOSÍ</x:v>
      </x:c>
      <x:c r="F27" s="31" t="str">
        <x:v>SUR LÍPEZ</x:v>
      </x:c>
      <x:c r="G27" s="31" t="str">
        <x:v>SAN PABLO</x:v>
      </x:c>
      <x:c r="H27" s="31" t="n">
        <x:v>91</x:v>
      </x:c>
      <x:c r="I27" s="31" t="n">
        <x:v>41</x:v>
      </x:c>
      <x:c r="J27" s="31" t="n">
        <x:v>50</x:v>
      </x:c>
      <x:c r="K27" s="31" t="n">
        <x:v>32</x:v>
      </x:c>
      <x:c r="L27" s="31" t="n">
        <x:v>15</x:v>
      </x:c>
      <x:c r="M27" s="31" t="n">
        <x:v>17</x:v>
      </x:c>
      <x:c r="N27" s="31" t="n">
        <x:v>37</x:v>
      </x:c>
      <x:c r="O27" s="31" t="n">
        <x:v>19</x:v>
      </x:c>
      <x:c r="P27" s="31" t="n">
        <x:v>18</x:v>
      </x:c>
      <x:c r="Q27" s="31" t="n">
        <x:v>15</x:v>
      </x:c>
      <x:c r="R27" s="31" t="n">
        <x:v>6</x:v>
      </x:c>
      <x:c r="S27" s="31" t="n">
        <x:v>9</x:v>
      </x:c>
      <x:c r="T27" s="31" t="n">
        <x:v>7</x:v>
      </x:c>
      <x:c r="U27" s="31" t="n">
        <x:v>1</x:v>
      </x:c>
      <x:c r="V27" s="31" t="n">
        <x:v>6</x:v>
      </x:c>
      <x:c r="W27" s="31" t="n">
        <x:v>91</x:v>
      </x:c>
      <x:c r="X27" s="31" t="n">
        <x:v>41</x:v>
      </x:c>
      <x:c r="Y27" s="31" t="n">
        <x:v>50</x:v>
      </x:c>
      <x:c r="Z27" s="31" t="n">
        <x:v>47</x:v>
      </x:c>
      <x:c r="AA27" s="31" t="n">
        <x:v>17</x:v>
      </x:c>
      <x:c r="AB27" s="31" t="n">
        <x:v>30</x:v>
      </x:c>
      <x:c r="AC27" s="31" t="n">
        <x:v>40</x:v>
      </x:c>
      <x:c r="AD27" s="31" t="n">
        <x:v>22</x:v>
      </x:c>
      <x:c r="AE27" s="31" t="n">
        <x:v>18</x:v>
      </x:c>
      <x:c r="AF27" s="31" t="n">
        <x:v>0</x:v>
      </x:c>
      <x:c r="AG27" s="31" t="n">
        <x:v>0</x:v>
      </x:c>
      <x:c r="AH27" s="31" t="n">
        <x:v>0</x:v>
      </x:c>
      <x:c r="AI27" s="31" t="n">
        <x:v>4</x:v>
      </x:c>
      <x:c r="AJ27" s="31" t="n">
        <x:v>2</x:v>
      </x:c>
      <x:c r="AK27" s="31" t="n">
        <x:v>2</x:v>
      </x:c>
      <x:c r="AL27" s="31" t="n">
        <x:v>91</x:v>
      </x:c>
      <x:c r="AM27" s="31" t="n">
        <x:v>41</x:v>
      </x:c>
      <x:c r="AN27" s="31" t="n">
        <x:v>50</x:v>
      </x:c>
      <x:c r="AO27" s="31" t="n">
        <x:v>77</x:v>
      </x:c>
      <x:c r="AP27" s="31" t="n">
        <x:v>31</x:v>
      </x:c>
      <x:c r="AQ27" s="31" t="n">
        <x:v>46</x:v>
      </x:c>
      <x:c r="AR27" s="31" t="n">
        <x:v>12</x:v>
      </x:c>
      <x:c r="AS27" s="31" t="n">
        <x:v>8</x:v>
      </x:c>
      <x:c r="AT27" s="31" t="n">
        <x:v>4</x:v>
      </x:c>
      <x:c r="AU27" s="31" t="n">
        <x:v>0</x:v>
      </x:c>
      <x:c r="AV27" s="31" t="n">
        <x:v>0</x:v>
      </x:c>
      <x:c r="AW27" s="31" t="n">
        <x:v>0</x:v>
      </x:c>
      <x:c r="AX27" s="31" t="n">
        <x:v>2</x:v>
      </x:c>
      <x:c r="AY27" s="31" t="n">
        <x:v>2</x:v>
      </x:c>
      <x:c r="AZ27" s="31" t="n">
        <x:v>0</x:v>
      </x:c>
      <x:c r="BA27" s="31" t="n">
        <x:v>59</x:v>
      </x:c>
      <x:c r="BB27" s="31" t="n">
        <x:v>25</x:v>
      </x:c>
      <x:c r="BC27" s="31" t="n">
        <x:v>34</x:v>
      </x:c>
      <x:c r="BD27" s="31" t="n">
        <x:v>4</x:v>
      </x:c>
      <x:c r="BE27" s="31" t="n">
        <x:v>0</x:v>
      </x:c>
      <x:c r="BF27" s="31" t="n">
        <x:v>4</x:v>
      </x:c>
      <x:c r="BG27" s="31" t="n">
        <x:v>7</x:v>
      </x:c>
      <x:c r="BH27" s="31" t="n">
        <x:v>3</x:v>
      </x:c>
      <x:c r="BI27" s="31" t="n">
        <x:v>4</x:v>
      </x:c>
      <x:c r="BJ27" s="31" t="n">
        <x:v>24</x:v>
      </x:c>
      <x:c r="BK27" s="31" t="n">
        <x:v>14</x:v>
      </x:c>
      <x:c r="BL27" s="31" t="n">
        <x:v>10</x:v>
      </x:c>
      <x:c r="BM27" s="31" t="n">
        <x:v>23</x:v>
      </x:c>
      <x:c r="BN27" s="31" t="n">
        <x:v>8</x:v>
      </x:c>
      <x:c r="BO27" s="31" t="n">
        <x:v>15</x:v>
      </x:c>
      <x:c r="BP27" s="31" t="n">
        <x:v>1</x:v>
      </x:c>
      <x:c r="BQ27" s="31" t="n">
        <x:v>0</x:v>
      </x:c>
      <x:c r="BR27" s="31" t="n">
        <x:v>1</x:v>
      </x:c>
      <x:c r="BS27" s="31" t="n">
        <x:v>51</x:v>
      </x:c>
      <x:c r="BT27" s="31" t="n">
        <x:v>24</x:v>
      </x:c>
      <x:c r="BU27" s="31" t="n">
        <x:v>27</x:v>
      </x:c>
      <x:c r="BV27" s="31" t="n">
        <x:v>29</x:v>
      </x:c>
      <x:c r="BW27" s="31" t="n">
        <x:v>17</x:v>
      </x:c>
      <x:c r="BX27" s="31" t="n">
        <x:v>12</x:v>
      </x:c>
      <x:c r="BY27" s="31" t="n">
        <x:v>12</x:v>
      </x:c>
      <x:c r="BZ27" s="31" t="n">
        <x:v>5</x:v>
      </x:c>
      <x:c r="CA27" s="31" t="n">
        <x:v>7</x:v>
      </x:c>
      <x:c r="CB27" s="31" t="n">
        <x:v>5</x:v>
      </x:c>
      <x:c r="CC27" s="31" t="n">
        <x:v>0</x:v>
      </x:c>
      <x:c r="CD27" s="31" t="n">
        <x:v>5</x:v>
      </x:c>
      <x:c r="CE27" s="31" t="n">
        <x:v>5</x:v>
      </x:c>
      <x:c r="CF27" s="31" t="n">
        <x:v>2</x:v>
      </x:c>
      <x:c r="CG27" s="31" t="n">
        <x:v>3</x:v>
      </x:c>
      <x:c r="CH27" s="31" t="n">
        <x:v>91</x:v>
      </x:c>
      <x:c r="CI27" s="31" t="n">
        <x:v>41</x:v>
      </x:c>
      <x:c r="CJ27" s="31" t="n">
        <x:v>50</x:v>
      </x:c>
      <x:c r="CK27" s="31" t="n">
        <x:v>82</x:v>
      </x:c>
      <x:c r="CL27" s="31" t="n">
        <x:v>36</x:v>
      </x:c>
      <x:c r="CM27" s="31" t="n">
        <x:v>46</x:v>
      </x:c>
      <x:c r="CN27" s="31" t="n">
        <x:v>19</x:v>
      </x:c>
      <x:c r="CO27" s="31" t="n">
        <x:v>9</x:v>
      </x:c>
      <x:c r="CP27" s="31" t="n">
        <x:v>10</x:v>
      </x:c>
      <x:c r="CQ27" s="31" t="n">
        <x:v>13</x:v>
      </x:c>
      <x:c r="CR27" s="31" t="n">
        <x:v>7</x:v>
      </x:c>
      <x:c r="CS27" s="31" t="n">
        <x:v>6</x:v>
      </x:c>
      <x:c r="CT27" s="31" t="n">
        <x:v>20</x:v>
      </x:c>
      <x:c r="CU27" s="31" t="n">
        <x:v>11</x:v>
      </x:c>
      <x:c r="CV27" s="31" t="n">
        <x:v>9</x:v>
      </x:c>
      <x:c r="CW27" s="31" t="n">
        <x:v>55</x:v>
      </x:c>
      <x:c r="CX27" s="31" t="n">
        <x:v>26</x:v>
      </x:c>
      <x:c r="CY27" s="31" t="n">
        <x:v>29</x:v>
      </x:c>
      <x:c r="CZ27" s="31" t="n">
        <x:v>46</x:v>
      </x:c>
      <x:c r="DA27" s="31" t="n">
        <x:v>19</x:v>
      </x:c>
      <x:c r="DB27" s="31" t="n">
        <x:v>27</x:v>
      </x:c>
      <x:c r="DC27" s="31" t="n">
        <x:v>81</x:v>
      </x:c>
      <x:c r="DD27" s="31" t="n">
        <x:v>36</x:v>
      </x:c>
      <x:c r="DE27" s="31" t="n">
        <x:v>45</x:v>
      </x:c>
      <x:c r="DF27" s="31" t="n">
        <x:v>51</x:v>
      </x:c>
      <x:c r="DG27" s="31" t="n">
        <x:v>24</x:v>
      </x:c>
      <x:c r="DH27" s="31" t="n">
        <x:v>27</x:v>
      </x:c>
      <x:c r="DI27" s="31" t="n">
        <x:v>12</x:v>
      </x:c>
      <x:c r="DJ27" s="31" t="n">
        <x:v>2</x:v>
      </x:c>
      <x:c r="DK27" s="31" t="n">
        <x:v>10</x:v>
      </x:c>
      <x:c r="DL27" s="31" t="n">
        <x:v>4</x:v>
      </x:c>
      <x:c r="DM27" s="31" t="n">
        <x:v>0</x:v>
      </x:c>
      <x:c r="DN27" s="31" t="n">
        <x:v>4</x:v>
      </x:c>
      <x:c r="DO27" s="31" t="n">
        <x:v>0</x:v>
      </x:c>
      <x:c r="DP27" s="31" t="n">
        <x:v>0</x:v>
      </x:c>
      <x:c r="DQ27" s="31" t="n">
        <x:v>0</x:v>
      </x:c>
      <x:c r="DR27" s="31" t="n">
        <x:v>2</x:v>
      </x:c>
      <x:c r="DS27" s="31" t="n">
        <x:v>2</x:v>
      </x:c>
      <x:c r="DT27" s="31" t="n">
        <x:v>0</x:v>
      </x:c>
      <x:c r="DU27" s="31" t="n">
        <x:v>4</x:v>
      </x:c>
      <x:c r="DV27" s="31" t="n">
        <x:v>4</x:v>
      </x:c>
      <x:c r="DW27" s="31" t="n">
        <x:v>0</x:v>
      </x:c>
      <x:c r="DX27" s="31" t="n">
        <x:v>5</x:v>
      </x:c>
      <x:c r="DY27" s="31" t="n">
        <x:v>1</x:v>
      </x:c>
      <x:c r="DZ27" s="31" t="n">
        <x:v>4</x:v>
      </x:c>
      <x:c r="EA27" s="31" t="n">
        <x:v>2</x:v>
      </x:c>
      <x:c r="EB27" s="31" t="n">
        <x:v>1</x:v>
      </x:c>
      <x:c r="EC27" s="31" t="n">
        <x:v>1</x:v>
      </x:c>
      <x:c r="ED27" s="31" t="n">
        <x:v>1</x:v>
      </x:c>
      <x:c r="EE27" s="31" t="n">
        <x:v>1</x:v>
      </x:c>
      <x:c r="EF27" s="31" t="n">
        <x:v>0</x:v>
      </x:c>
      <x:c r="EG27" s="31" t="n">
        <x:v>20</x:v>
      </x:c>
      <x:c r="EH27" s="31" t="n">
        <x:v>12</x:v>
      </x:c>
      <x:c r="EI27" s="31" t="n">
        <x:v>8</x:v>
      </x:c>
      <x:c r="EJ27" s="31" t="n">
        <x:v>1</x:v>
      </x:c>
      <x:c r="EK27" s="31" t="n">
        <x:v>1</x:v>
      </x:c>
      <x:c r="EL27" s="31" t="n">
        <x:v>0</x:v>
      </x:c>
      <x:c r="EM27" s="31" t="n">
        <x:v>89</x:v>
      </x:c>
      <x:c r="EN27" s="31" t="n">
        <x:v>39</x:v>
      </x:c>
      <x:c r="EO27" s="31" t="n">
        <x:v>50</x:v>
      </x:c>
      <x:c r="EP27" s="31" t="n">
        <x:v>60</x:v>
      </x:c>
      <x:c r="EQ27" s="31" t="n">
        <x:v>26</x:v>
      </x:c>
      <x:c r="ER27" s="31" t="n">
        <x:v>34</x:v>
      </x:c>
      <x:c r="ES27" s="31" t="n">
        <x:v>18</x:v>
      </x:c>
      <x:c r="ET27" s="31" t="n">
        <x:v>9</x:v>
      </x:c>
      <x:c r="EU27" s="31" t="n">
        <x:v>9</x:v>
      </x:c>
      <x:c r="EV27" s="31" t="n">
        <x:v>0</x:v>
      </x:c>
      <x:c r="EW27" s="31" t="n">
        <x:v>0</x:v>
      </x:c>
      <x:c r="EX27" s="31" t="n">
        <x:v>0</x:v>
      </x:c>
      <x:c r="EY27" s="31" t="n">
        <x:v>10</x:v>
      </x:c>
      <x:c r="EZ27" s="31" t="n">
        <x:v>4</x:v>
      </x:c>
      <x:c r="FA27" s="31" t="n">
        <x:v>6</x:v>
      </x:c>
      <x:c r="FB27" s="31" t="n">
        <x:v>1</x:v>
      </x:c>
      <x:c r="FC27" s="31" t="n">
        <x:v>0</x:v>
      </x:c>
      <x:c r="FD27" s="31" t="n">
        <x:v>1</x:v>
      </x:c>
      <x:c r="FE27" s="31" t="n">
        <x:v>54</x:v>
      </x:c>
      <x:c r="FF27" s="31" t="n">
        <x:v>52</x:v>
      </x:c>
      <x:c r="FG27" s="31" t="n">
        <x:v>35</x:v>
      </x:c>
      <x:c r="FH27" s="31" t="n">
        <x:v>16</x:v>
      </x:c>
      <x:c r="FI27" s="31" t="n">
        <x:v>1</x:v>
      </x:c>
      <x:c r="FJ27" s="31" t="n">
        <x:v>2</x:v>
      </x:c>
      <x:c r="FK27" s="31" t="n">
        <x:v>35</x:v>
      </x:c>
      <x:c r="FL27" s="31" t="n">
        <x:v>28</x:v>
      </x:c>
      <x:c r="FM27" s="31" t="n">
        <x:v>1</x:v>
      </x:c>
      <x:c r="FN27" s="31" t="n">
        <x:v>0</x:v>
      </x:c>
      <x:c r="FO27" s="31" t="n">
        <x:v>6</x:v>
      </x:c>
      <x:c r="FP27" s="31" t="n">
        <x:v>0</x:v>
      </x:c>
      <x:c r="FQ27" s="31" t="n">
        <x:v>35</x:v>
      </x:c>
      <x:c r="FR27" s="31" t="n">
        <x:v>21</x:v>
      </x:c>
      <x:c r="FS27" s="31" t="n">
        <x:v>0</x:v>
      </x:c>
      <x:c r="FT27" s="31" t="n">
        <x:v>10</x:v>
      </x:c>
      <x:c r="FU27" s="31" t="n">
        <x:v>1</x:v>
      </x:c>
      <x:c r="FV27" s="31" t="n">
        <x:v>3</x:v>
      </x:c>
      <x:c r="FW27" s="31" t="n">
        <x:v>35</x:v>
      </x:c>
      <x:c r="FX27" s="31" t="n">
        <x:v>30</x:v>
      </x:c>
      <x:c r="FY27" s="31" t="n">
        <x:v>3</x:v>
      </x:c>
      <x:c r="FZ27" s="31" t="n">
        <x:v>1</x:v>
      </x:c>
      <x:c r="GA27" s="31" t="n">
        <x:v>0</x:v>
      </x:c>
      <x:c r="GB27" s="31" t="n">
        <x:v>0</x:v>
      </x:c>
      <x:c r="GC27" s="31" t="n">
        <x:v>0</x:v>
      </x:c>
      <x:c r="GD27" s="31" t="n">
        <x:v>0</x:v>
      </x:c>
      <x:c r="GE27" s="31" t="n">
        <x:v>0</x:v>
      </x:c>
      <x:c r="GF27" s="31" t="n">
        <x:v>1</x:v>
      </x:c>
      <x:c r="GG27" s="31" t="n">
        <x:v>35</x:v>
      </x:c>
      <x:c r="GH27" s="31" t="n">
        <x:v>0</x:v>
      </x:c>
      <x:c r="GI27" s="31" t="n">
        <x:v>0</x:v>
      </x:c>
      <x:c r="GJ27" s="31" t="n">
        <x:v>28</x:v>
      </x:c>
      <x:c r="GK27" s="31" t="n">
        <x:v>1</x:v>
      </x:c>
      <x:c r="GL27" s="31" t="n">
        <x:v>2</x:v>
      </x:c>
      <x:c r="GM27" s="31" t="n">
        <x:v>0</x:v>
      </x:c>
      <x:c r="GN27" s="31" t="n">
        <x:v>4</x:v>
      </x:c>
      <x:c r="GO27" s="31" t="n">
        <x:v>35</x:v>
      </x:c>
      <x:c r="GP27" s="31" t="n">
        <x:v>22</x:v>
      </x:c>
      <x:c r="GQ27" s="31" t="n">
        <x:v>0</x:v>
      </x:c>
      <x:c r="GR27" s="31" t="n">
        <x:v>13</x:v>
      </x:c>
      <x:c r="GS27" s="31" t="n">
        <x:v>0</x:v>
      </x:c>
      <x:c r="GT27" s="31" t="n">
        <x:v>0</x:v>
      </x:c>
      <x:c r="GU27" s="31" t="n">
        <x:v>0</x:v>
      </x:c>
      <x:c r="GV27" s="31" t="n">
        <x:v>0</x:v>
      </x:c>
      <x:c r="GW27" s="31" t="n">
        <x:v>0</x:v>
      </x:c>
      <x:c r="GX27" s="31" t="n">
        <x:v>35</x:v>
      </x:c>
      <x:c r="GY27" s="31" t="n">
        <x:v>0</x:v>
      </x:c>
      <x:c r="GZ27" s="31" t="n">
        <x:v>0</x:v>
      </x:c>
      <x:c r="HA27" s="31" t="n">
        <x:v>0</x:v>
      </x:c>
      <x:c r="HB27" s="31" t="n">
        <x:v>0</x:v>
      </x:c>
      <x:c r="HC27" s="31" t="n">
        <x:v>18</x:v>
      </x:c>
      <x:c r="HD27" s="31" t="n">
        <x:v>2</x:v>
      </x:c>
      <x:c r="HE27" s="31" t="n">
        <x:v>15</x:v>
      </x:c>
      <x:c r="HF27" s="31" t="n">
        <x:v>35</x:v>
      </x:c>
      <x:c r="HG27" s="31" t="n">
        <x:v>21</x:v>
      </x:c>
      <x:c r="HH27" s="31" t="n">
        <x:v>19</x:v>
      </x:c>
      <x:c r="HI27" s="31" t="n">
        <x:v>34</x:v>
      </x:c>
      <x:c r="HJ27" s="31" t="n">
        <x:v>32</x:v>
      </x:c>
      <x:c r="HK27" s="31" t="str">
        <x:v>Ficha_INE_Eduardo_Avaroa.pdf</x:v>
      </x:c>
      <x:c r="HL27" s="31" t="str">
        <x:v>Instituto Nacional de Estadística, Censo de Población y Vivienda 2024</x:v>
      </x:c>
    </x:row>
    <x:row r="28" ht="20" customHeight="1">
      <x:c r="A28" s="31" t="str">
        <x:v>AP-1701</x:v>
      </x:c>
      <x:c r="B28" s="31" t="str">
        <x:v>Kaa-iya del Gran Chaco</x:v>
      </x:c>
      <x:c r="C28" s="31" t="n">
        <x:v>18</x:v>
      </x:c>
      <x:c r="D28" s="31" t="str">
        <x:v>Sí</x:v>
      </x:c>
      <x:c r="E28" s="31" t="str">
        <x:v>SANTA CRUZ</x:v>
      </x:c>
      <x:c r="F28" s="31" t="str">
        <x:v>CORDILLERA</x:v>
      </x:c>
      <x:c r="G28" s="31" t="str">
        <x:v>CHARAGUA (AUTONOMÍA GUARANÍ</x:v>
      </x:c>
      <x:c r="H28" s="31" t="n">
        <x:v>90</x:v>
      </x:c>
      <x:c r="I28" s="31" t="n">
        <x:v>72</x:v>
      </x:c>
      <x:c r="J28" s="31" t="n">
        <x:v>18</x:v>
      </x:c>
      <x:c r="K28" s="31" t="n">
        <x:v>35</x:v>
      </x:c>
      <x:c r="L28" s="31" t="n">
        <x:v>34</x:v>
      </x:c>
      <x:c r="M28" s="31" t="n">
        <x:v>1</x:v>
      </x:c>
      <x:c r="N28" s="31" t="n">
        <x:v>32</x:v>
      </x:c>
      <x:c r="O28" s="31" t="n">
        <x:v>22</x:v>
      </x:c>
      <x:c r="P28" s="31" t="n">
        <x:v>10</x:v>
      </x:c>
      <x:c r="Q28" s="31" t="n">
        <x:v>19</x:v>
      </x:c>
      <x:c r="R28" s="31" t="n">
        <x:v>15</x:v>
      </x:c>
      <x:c r="S28" s="31" t="n">
        <x:v>4</x:v>
      </x:c>
      <x:c r="T28" s="31" t="n">
        <x:v>4</x:v>
      </x:c>
      <x:c r="U28" s="31" t="n">
        <x:v>1</x:v>
      </x:c>
      <x:c r="V28" s="31" t="n">
        <x:v>3</x:v>
      </x:c>
      <x:c r="W28" s="31" t="n">
        <x:v>90</x:v>
      </x:c>
      <x:c r="X28" s="31" t="n">
        <x:v>72</x:v>
      </x:c>
      <x:c r="Y28" s="31" t="n">
        <x:v>18</x:v>
      </x:c>
      <x:c r="Z28" s="31" t="n">
        <x:v>6</x:v>
      </x:c>
      <x:c r="AA28" s="31" t="n">
        <x:v>3</x:v>
      </x:c>
      <x:c r="AB28" s="31" t="n">
        <x:v>3</x:v>
      </x:c>
      <x:c r="AC28" s="31" t="n">
        <x:v>81</x:v>
      </x:c>
      <x:c r="AD28" s="31" t="n">
        <x:v>67</x:v>
      </x:c>
      <x:c r="AE28" s="31" t="n">
        <x:v>14</x:v>
      </x:c>
      <x:c r="AF28" s="31" t="n">
        <x:v>1</x:v>
      </x:c>
      <x:c r="AG28" s="31" t="n">
        <x:v>0</x:v>
      </x:c>
      <x:c r="AH28" s="31" t="n">
        <x:v>1</x:v>
      </x:c>
      <x:c r="AI28" s="31" t="n">
        <x:v>2</x:v>
      </x:c>
      <x:c r="AJ28" s="31" t="n">
        <x:v>2</x:v>
      </x:c>
      <x:c r="AK28" s="31" t="n">
        <x:v>0</x:v>
      </x:c>
      <x:c r="AL28" s="31" t="n">
        <x:v>90</x:v>
      </x:c>
      <x:c r="AM28" s="31" t="n">
        <x:v>72</x:v>
      </x:c>
      <x:c r="AN28" s="31" t="n">
        <x:v>18</x:v>
      </x:c>
      <x:c r="AO28" s="31" t="n">
        <x:v>84</x:v>
      </x:c>
      <x:c r="AP28" s="31" t="n">
        <x:v>67</x:v>
      </x:c>
      <x:c r="AQ28" s="31" t="n">
        <x:v>17</x:v>
      </x:c>
      <x:c r="AR28" s="31" t="n">
        <x:v>5</x:v>
      </x:c>
      <x:c r="AS28" s="31" t="n">
        <x:v>4</x:v>
      </x:c>
      <x:c r="AT28" s="31" t="n">
        <x:v>1</x:v>
      </x:c>
      <x:c r="AU28" s="31" t="n">
        <x:v>0</x:v>
      </x:c>
      <x:c r="AV28" s="31" t="n">
        <x:v>0</x:v>
      </x:c>
      <x:c r="AW28" s="31" t="n">
        <x:v>0</x:v>
      </x:c>
      <x:c r="AX28" s="31" t="n">
        <x:v>1</x:v>
      </x:c>
      <x:c r="AY28" s="31" t="n">
        <x:v>1</x:v>
      </x:c>
      <x:c r="AZ28" s="31" t="n">
        <x:v>0</x:v>
      </x:c>
      <x:c r="BA28" s="31" t="n">
        <x:v>68</x:v>
      </x:c>
      <x:c r="BB28" s="31" t="n">
        <x:v>51</x:v>
      </x:c>
      <x:c r="BC28" s="31" t="n">
        <x:v>17</x:v>
      </x:c>
      <x:c r="BD28" s="31" t="n">
        <x:v>0</x:v>
      </x:c>
      <x:c r="BE28" s="31" t="n">
        <x:v>0</x:v>
      </x:c>
      <x:c r="BF28" s="31" t="n">
        <x:v>0</x:v>
      </x:c>
      <x:c r="BG28" s="31" t="n">
        <x:v>13</x:v>
      </x:c>
      <x:c r="BH28" s="31" t="n">
        <x:v>5</x:v>
      </x:c>
      <x:c r="BI28" s="31" t="n">
        <x:v>8</x:v>
      </x:c>
      <x:c r="BJ28" s="31" t="n">
        <x:v>47</x:v>
      </x:c>
      <x:c r="BK28" s="31" t="n">
        <x:v>38</x:v>
      </x:c>
      <x:c r="BL28" s="31" t="n">
        <x:v>9</x:v>
      </x:c>
      <x:c r="BM28" s="31" t="n">
        <x:v>8</x:v>
      </x:c>
      <x:c r="BN28" s="31" t="n">
        <x:v>8</x:v>
      </x:c>
      <x:c r="BO28" s="31" t="n">
        <x:v>0</x:v>
      </x:c>
      <x:c r="BP28" s="31" t="n">
        <x:v>0</x:v>
      </x:c>
      <x:c r="BQ28" s="31" t="n">
        <x:v>0</x:v>
      </x:c>
      <x:c r="BR28" s="31" t="n">
        <x:v>0</x:v>
      </x:c>
      <x:c r="BS28" s="31" t="n">
        <x:v>51</x:v>
      </x:c>
      <x:c r="BT28" s="31" t="n">
        <x:v>36</x:v>
      </x:c>
      <x:c r="BU28" s="31" t="n">
        <x:v>15</x:v>
      </x:c>
      <x:c r="BV28" s="31" t="n">
        <x:v>11</x:v>
      </x:c>
      <x:c r="BW28" s="31" t="n">
        <x:v>10</x:v>
      </x:c>
      <x:c r="BX28" s="31" t="n">
        <x:v>1</x:v>
      </x:c>
      <x:c r="BY28" s="31" t="n">
        <x:v>36</x:v>
      </x:c>
      <x:c r="BZ28" s="31" t="n">
        <x:v>24</x:v>
      </x:c>
      <x:c r="CA28" s="31" t="n">
        <x:v>12</x:v>
      </x:c>
      <x:c r="CB28" s="31" t="n">
        <x:v>2</x:v>
      </x:c>
      <x:c r="CC28" s="31" t="n">
        <x:v>0</x:v>
      </x:c>
      <x:c r="CD28" s="31" t="n">
        <x:v>2</x:v>
      </x:c>
      <x:c r="CE28" s="31" t="n">
        <x:v>2</x:v>
      </x:c>
      <x:c r="CF28" s="31" t="n">
        <x:v>2</x:v>
      </x:c>
      <x:c r="CG28" s="31" t="n">
        <x:v>0</x:v>
      </x:c>
      <x:c r="CH28" s="31" t="n">
        <x:v>90</x:v>
      </x:c>
      <x:c r="CI28" s="31" t="n">
        <x:v>72</x:v>
      </x:c>
      <x:c r="CJ28" s="31" t="n">
        <x:v>18</x:v>
      </x:c>
      <x:c r="CK28" s="31" t="n">
        <x:v>62</x:v>
      </x:c>
      <x:c r="CL28" s="31" t="n">
        <x:v>44</x:v>
      </x:c>
      <x:c r="CM28" s="31" t="n">
        <x:v>18</x:v>
      </x:c>
      <x:c r="CN28" s="31" t="n">
        <x:v>14</x:v>
      </x:c>
      <x:c r="CO28" s="31" t="n">
        <x:v>14</x:v>
      </x:c>
      <x:c r="CP28" s="31" t="n">
        <x:v>0</x:v>
      </x:c>
      <x:c r="CQ28" s="31" t="n">
        <x:v>16</x:v>
      </x:c>
      <x:c r="CR28" s="31" t="n">
        <x:v>16</x:v>
      </x:c>
      <x:c r="CS28" s="31" t="n">
        <x:v>0</x:v>
      </x:c>
      <x:c r="CT28" s="31" t="n">
        <x:v>0</x:v>
      </x:c>
      <x:c r="CU28" s="31" t="n">
        <x:v>0</x:v>
      </x:c>
      <x:c r="CV28" s="31" t="n">
        <x:v>0</x:v>
      </x:c>
      <x:c r="CW28" s="31" t="n">
        <x:v>25</x:v>
      </x:c>
      <x:c r="CX28" s="31" t="n">
        <x:v>25</x:v>
      </x:c>
      <x:c r="CY28" s="31" t="n">
        <x:v>0</x:v>
      </x:c>
      <x:c r="CZ28" s="31" t="n">
        <x:v>27</x:v>
      </x:c>
      <x:c r="DA28" s="31" t="n">
        <x:v>26</x:v>
      </x:c>
      <x:c r="DB28" s="31" t="n">
        <x:v>1</x:v>
      </x:c>
      <x:c r="DC28" s="31" t="n">
        <x:v>65</x:v>
      </x:c>
      <x:c r="DD28" s="31" t="n">
        <x:v>53</x:v>
      </x:c>
      <x:c r="DE28" s="31" t="n">
        <x:v>12</x:v>
      </x:c>
      <x:c r="DF28" s="31" t="n">
        <x:v>51</x:v>
      </x:c>
      <x:c r="DG28" s="31" t="n">
        <x:v>36</x:v>
      </x:c>
      <x:c r="DH28" s="31" t="n">
        <x:v>15</x:v>
      </x:c>
      <x:c r="DI28" s="31" t="n">
        <x:v>30</x:v>
      </x:c>
      <x:c r="DJ28" s="31" t="n">
        <x:v>21</x:v>
      </x:c>
      <x:c r="DK28" s="31" t="n">
        <x:v>9</x:v>
      </x:c>
      <x:c r="DL28" s="31" t="n">
        <x:v>7</x:v>
      </x:c>
      <x:c r="DM28" s="31" t="n">
        <x:v>4</x:v>
      </x:c>
      <x:c r="DN28" s="31" t="n">
        <x:v>3</x:v>
      </x:c>
      <x:c r="DO28" s="31" t="n">
        <x:v>2</x:v>
      </x:c>
      <x:c r="DP28" s="31" t="n">
        <x:v>1</x:v>
      </x:c>
      <x:c r="DQ28" s="31" t="n">
        <x:v>1</x:v>
      </x:c>
      <x:c r="DR28" s="31" t="n">
        <x:v>2</x:v>
      </x:c>
      <x:c r="DS28" s="31" t="n">
        <x:v>2</x:v>
      </x:c>
      <x:c r="DT28" s="31" t="n">
        <x:v>0</x:v>
      </x:c>
      <x:c r="DU28" s="31" t="n">
        <x:v>3</x:v>
      </x:c>
      <x:c r="DV28" s="31" t="n">
        <x:v>3</x:v>
      </x:c>
      <x:c r="DW28" s="31" t="n">
        <x:v>0</x:v>
      </x:c>
      <x:c r="DX28" s="31" t="n">
        <x:v>2</x:v>
      </x:c>
      <x:c r="DY28" s="31" t="n">
        <x:v>0</x:v>
      </x:c>
      <x:c r="DZ28" s="31" t="n">
        <x:v>2</x:v>
      </x:c>
      <x:c r="EA28" s="31" t="n">
        <x:v>1</x:v>
      </x:c>
      <x:c r="EB28" s="31" t="n">
        <x:v>1</x:v>
      </x:c>
      <x:c r="EC28" s="31" t="n">
        <x:v>0</x:v>
      </x:c>
      <x:c r="ED28" s="31" t="n">
        <x:v>0</x:v>
      </x:c>
      <x:c r="EE28" s="31" t="n">
        <x:v>0</x:v>
      </x:c>
      <x:c r="EF28" s="31" t="n">
        <x:v>0</x:v>
      </x:c>
      <x:c r="EG28" s="31" t="n">
        <x:v>4</x:v>
      </x:c>
      <x:c r="EH28" s="31" t="n">
        <x:v>4</x:v>
      </x:c>
      <x:c r="EI28" s="31" t="n">
        <x:v>0</x:v>
      </x:c>
      <x:c r="EJ28" s="31" t="n">
        <x:v>0</x:v>
      </x:c>
      <x:c r="EK28" s="31" t="n">
        <x:v>0</x:v>
      </x:c>
      <x:c r="EL28" s="31" t="n">
        <x:v>0</x:v>
      </x:c>
      <x:c r="EM28" s="31" t="n">
        <x:v>89</x:v>
      </x:c>
      <x:c r="EN28" s="31" t="n">
        <x:v>71</x:v>
      </x:c>
      <x:c r="EO28" s="31" t="n">
        <x:v>18</x:v>
      </x:c>
      <x:c r="EP28" s="31" t="n">
        <x:v>49</x:v>
      </x:c>
      <x:c r="EQ28" s="31" t="n">
        <x:v>32</x:v>
      </x:c>
      <x:c r="ER28" s="31" t="n">
        <x:v>17</x:v>
      </x:c>
      <x:c r="ES28" s="31" t="n">
        <x:v>34</x:v>
      </x:c>
      <x:c r="ET28" s="31" t="n">
        <x:v>33</x:v>
      </x:c>
      <x:c r="EU28" s="31" t="n">
        <x:v>1</x:v>
      </x:c>
      <x:c r="EV28" s="31" t="n">
        <x:v>0</x:v>
      </x:c>
      <x:c r="EW28" s="31" t="n">
        <x:v>0</x:v>
      </x:c>
      <x:c r="EX28" s="31" t="n">
        <x:v>0</x:v>
      </x:c>
      <x:c r="EY28" s="31" t="n">
        <x:v>6</x:v>
      </x:c>
      <x:c r="EZ28" s="31" t="n">
        <x:v>6</x:v>
      </x:c>
      <x:c r="FA28" s="31" t="n">
        <x:v>0</x:v>
      </x:c>
      <x:c r="FB28" s="31" t="n">
        <x:v>0</x:v>
      </x:c>
      <x:c r="FC28" s="31" t="n">
        <x:v>0</x:v>
      </x:c>
      <x:c r="FD28" s="31" t="n">
        <x:v>0</x:v>
      </x:c>
      <x:c r="FE28" s="31" t="n">
        <x:v>31</x:v>
      </x:c>
      <x:c r="FF28" s="31" t="n">
        <x:v>29</x:v>
      </x:c>
      <x:c r="FG28" s="31" t="n">
        <x:v>19</x:v>
      </x:c>
      <x:c r="FH28" s="31" t="n">
        <x:v>10</x:v>
      </x:c>
      <x:c r="FI28" s="31" t="n">
        <x:v>0</x:v>
      </x:c>
      <x:c r="FJ28" s="31" t="n">
        <x:v>2</x:v>
      </x:c>
      <x:c r="FK28" s="31" t="n">
        <x:v>19</x:v>
      </x:c>
      <x:c r="FL28" s="31" t="n">
        <x:v>11</x:v>
      </x:c>
      <x:c r="FM28" s="31" t="n">
        <x:v>0</x:v>
      </x:c>
      <x:c r="FN28" s="31" t="n">
        <x:v>0</x:v>
      </x:c>
      <x:c r="FO28" s="31" t="n">
        <x:v>5</x:v>
      </x:c>
      <x:c r="FP28" s="31" t="n">
        <x:v>3</x:v>
      </x:c>
      <x:c r="FQ28" s="31" t="n">
        <x:v>19</x:v>
      </x:c>
      <x:c r="FR28" s="31" t="n">
        <x:v>0</x:v>
      </x:c>
      <x:c r="FS28" s="31" t="n">
        <x:v>2</x:v>
      </x:c>
      <x:c r="FT28" s="31" t="n">
        <x:v>6</x:v>
      </x:c>
      <x:c r="FU28" s="31" t="n">
        <x:v>0</x:v>
      </x:c>
      <x:c r="FV28" s="31" t="n">
        <x:v>11</x:v>
      </x:c>
      <x:c r="FW28" s="31" t="n">
        <x:v>19</x:v>
      </x:c>
      <x:c r="FX28" s="31" t="n">
        <x:v>0</x:v>
      </x:c>
      <x:c r="FY28" s="31" t="n">
        <x:v>0</x:v>
      </x:c>
      <x:c r="FZ28" s="31" t="n">
        <x:v>0</x:v>
      </x:c>
      <x:c r="GA28" s="31" t="n">
        <x:v>7</x:v>
      </x:c>
      <x:c r="GB28" s="31" t="n">
        <x:v>0</x:v>
      </x:c>
      <x:c r="GC28" s="31" t="n">
        <x:v>7</x:v>
      </x:c>
      <x:c r="GD28" s="31" t="n">
        <x:v>0</x:v>
      </x:c>
      <x:c r="GE28" s="31" t="n">
        <x:v>5</x:v>
      </x:c>
      <x:c r="GF28" s="31" t="n">
        <x:v>0</x:v>
      </x:c>
      <x:c r="GG28" s="31" t="n">
        <x:v>19</x:v>
      </x:c>
      <x:c r="GH28" s="31" t="n">
        <x:v>5</x:v>
      </x:c>
      <x:c r="GI28" s="31" t="n">
        <x:v>1</x:v>
      </x:c>
      <x:c r="GJ28" s="31" t="n">
        <x:v>3</x:v>
      </x:c>
      <x:c r="GK28" s="31" t="n">
        <x:v>0</x:v>
      </x:c>
      <x:c r="GL28" s="31" t="n">
        <x:v>0</x:v>
      </x:c>
      <x:c r="GM28" s="31" t="n">
        <x:v>0</x:v>
      </x:c>
      <x:c r="GN28" s="31" t="n">
        <x:v>10</x:v>
      </x:c>
      <x:c r="GO28" s="31" t="n">
        <x:v>19</x:v>
      </x:c>
      <x:c r="GP28" s="31" t="n">
        <x:v>0</x:v>
      </x:c>
      <x:c r="GQ28" s="31" t="n">
        <x:v>0</x:v>
      </x:c>
      <x:c r="GR28" s="31" t="n">
        <x:v>19</x:v>
      </x:c>
      <x:c r="GS28" s="31" t="n">
        <x:v>0</x:v>
      </x:c>
      <x:c r="GT28" s="31" t="n">
        <x:v>0</x:v>
      </x:c>
      <x:c r="GU28" s="31" t="n">
        <x:v>0</x:v>
      </x:c>
      <x:c r="GV28" s="31" t="n">
        <x:v>0</x:v>
      </x:c>
      <x:c r="GW28" s="31" t="n">
        <x:v>0</x:v>
      </x:c>
      <x:c r="GX28" s="31" t="n">
        <x:v>19</x:v>
      </x:c>
      <x:c r="GY28" s="31" t="n">
        <x:v>0</x:v>
      </x:c>
      <x:c r="GZ28" s="31" t="n">
        <x:v>0</x:v>
      </x:c>
      <x:c r="HA28" s="31" t="n">
        <x:v>0</x:v>
      </x:c>
      <x:c r="HB28" s="31" t="n">
        <x:v>0</x:v>
      </x:c>
      <x:c r="HC28" s="31" t="n">
        <x:v>11</x:v>
      </x:c>
      <x:c r="HD28" s="31" t="n">
        <x:v>7</x:v>
      </x:c>
      <x:c r="HE28" s="31" t="n">
        <x:v>1</x:v>
      </x:c>
      <x:c r="HF28" s="31" t="n">
        <x:v>19</x:v>
      </x:c>
      <x:c r="HG28" s="31" t="n">
        <x:v>6</x:v>
      </x:c>
      <x:c r="HH28" s="31" t="n">
        <x:v>1</x:v>
      </x:c>
      <x:c r="HI28" s="31" t="n">
        <x:v>12</x:v>
      </x:c>
      <x:c r="HJ28" s="31" t="n">
        <x:v>8</x:v>
      </x:c>
      <x:c r="HK28" s="31" t="str">
        <x:v>Ficha_INE_Kaa_iya_del_Gran_Chaco.pdf</x:v>
      </x:c>
      <x:c r="HL28" s="31" t="str">
        <x:v>Instituto Nacional de Estadística, Censo de Población y Vivienda 2024</x:v>
      </x:c>
    </x:row>
    <x:row r="29" ht="20" customHeight="1">
      <x:c r="A29" s="31" t="str">
        <x:v>AP-2001</x:v>
      </x:c>
      <x:c r="B29" s="31" t="str">
        <x:v>Otuquis</x:v>
      </x:c>
      <x:c r="C29" s="31" t="n">
        <x:v>20</x:v>
      </x:c>
      <x:c r="D29" s="31" t="str">
        <x:v>Sí</x:v>
      </x:c>
      <x:c r="E29" s="31" t="str">
        <x:v>SANTA CRUZ</x:v>
      </x:c>
      <x:c r="F29" s="31" t="str">
        <x:v>GERMÁN BUSCH</x:v>
      </x:c>
      <x:c r="G29" s="31" t="str">
        <x:v>PUERTO SUÁREZ, PUERTO QUIJARRO</x:v>
      </x:c>
      <x:c r="H29" s="31" t="n">
        <x:v>62</x:v>
      </x:c>
      <x:c r="I29" s="31" t="n">
        <x:v>51</x:v>
      </x:c>
      <x:c r="J29" s="31" t="n">
        <x:v>11</x:v>
      </x:c>
      <x:c r="K29" s="31" t="n">
        <x:v>13</x:v>
      </x:c>
      <x:c r="L29" s="31" t="n">
        <x:v>11</x:v>
      </x:c>
      <x:c r="M29" s="31" t="n">
        <x:v>2</x:v>
      </x:c>
      <x:c r="N29" s="31" t="n">
        <x:v>35</x:v>
      </x:c>
      <x:c r="O29" s="31" t="n">
        <x:v>29</x:v>
      </x:c>
      <x:c r="P29" s="31" t="n">
        <x:v>6</x:v>
      </x:c>
      <x:c r="Q29" s="31" t="n">
        <x:v>13</x:v>
      </x:c>
      <x:c r="R29" s="31" t="n">
        <x:v>10</x:v>
      </x:c>
      <x:c r="S29" s="31" t="n">
        <x:v>3</x:v>
      </x:c>
      <x:c r="T29" s="31" t="n">
        <x:v>1</x:v>
      </x:c>
      <x:c r="U29" s="31" t="n">
        <x:v>1</x:v>
      </x:c>
      <x:c r="V29" s="31" t="n">
        <x:v>0</x:v>
      </x:c>
      <x:c r="W29" s="31" t="n">
        <x:v>62</x:v>
      </x:c>
      <x:c r="X29" s="31" t="n">
        <x:v>51</x:v>
      </x:c>
      <x:c r="Y29" s="31" t="n">
        <x:v>11</x:v>
      </x:c>
      <x:c r="Z29" s="31" t="n">
        <x:v>2</x:v>
      </x:c>
      <x:c r="AA29" s="31" t="n">
        <x:v>1</x:v>
      </x:c>
      <x:c r="AB29" s="31" t="n">
        <x:v>1</x:v>
      </x:c>
      <x:c r="AC29" s="31" t="n">
        <x:v>45</x:v>
      </x:c>
      <x:c r="AD29" s="31" t="n">
        <x:v>40</x:v>
      </x:c>
      <x:c r="AE29" s="31" t="n">
        <x:v>5</x:v>
      </x:c>
      <x:c r="AF29" s="31" t="n">
        <x:v>1</x:v>
      </x:c>
      <x:c r="AG29" s="31" t="n">
        <x:v>1</x:v>
      </x:c>
      <x:c r="AH29" s="31" t="n">
        <x:v>0</x:v>
      </x:c>
      <x:c r="AI29" s="31" t="n">
        <x:v>14</x:v>
      </x:c>
      <x:c r="AJ29" s="31" t="n">
        <x:v>9</x:v>
      </x:c>
      <x:c r="AK29" s="31" t="n">
        <x:v>5</x:v>
      </x:c>
      <x:c r="AL29" s="31" t="n">
        <x:v>62</x:v>
      </x:c>
      <x:c r="AM29" s="31" t="n">
        <x:v>51</x:v>
      </x:c>
      <x:c r="AN29" s="31" t="n">
        <x:v>11</x:v>
      </x:c>
      <x:c r="AO29" s="31" t="n">
        <x:v>18</x:v>
      </x:c>
      <x:c r="AP29" s="31" t="n">
        <x:v>14</x:v>
      </x:c>
      <x:c r="AQ29" s="31" t="n">
        <x:v>4</x:v>
      </x:c>
      <x:c r="AR29" s="31" t="n">
        <x:v>30</x:v>
      </x:c>
      <x:c r="AS29" s="31" t="n">
        <x:v>28</x:v>
      </x:c>
      <x:c r="AT29" s="31" t="n">
        <x:v>2</x:v>
      </x:c>
      <x:c r="AU29" s="31" t="n">
        <x:v>0</x:v>
      </x:c>
      <x:c r="AV29" s="31" t="n">
        <x:v>0</x:v>
      </x:c>
      <x:c r="AW29" s="31" t="n">
        <x:v>0</x:v>
      </x:c>
      <x:c r="AX29" s="31" t="n">
        <x:v>14</x:v>
      </x:c>
      <x:c r="AY29" s="31" t="n">
        <x:v>9</x:v>
      </x:c>
      <x:c r="AZ29" s="31" t="n">
        <x:v>5</x:v>
      </x:c>
      <x:c r="BA29" s="31" t="n">
        <x:v>40</x:v>
      </x:c>
      <x:c r="BB29" s="31" t="n">
        <x:v>36</x:v>
      </x:c>
      <x:c r="BC29" s="31" t="n">
        <x:v>4</x:v>
      </x:c>
      <x:c r="BD29" s="31" t="n">
        <x:v>0</x:v>
      </x:c>
      <x:c r="BE29" s="31" t="n">
        <x:v>0</x:v>
      </x:c>
      <x:c r="BF29" s="31" t="n">
        <x:v>0</x:v>
      </x:c>
      <x:c r="BG29" s="31" t="n">
        <x:v>3</x:v>
      </x:c>
      <x:c r="BH29" s="31" t="n">
        <x:v>3</x:v>
      </x:c>
      <x:c r="BI29" s="31" t="n">
        <x:v>0</x:v>
      </x:c>
      <x:c r="BJ29" s="31" t="n">
        <x:v>24</x:v>
      </x:c>
      <x:c r="BK29" s="31" t="n">
        <x:v>23</x:v>
      </x:c>
      <x:c r="BL29" s="31" t="n">
        <x:v>1</x:v>
      </x:c>
      <x:c r="BM29" s="31" t="n">
        <x:v>13</x:v>
      </x:c>
      <x:c r="BN29" s="31" t="n">
        <x:v>10</x:v>
      </x:c>
      <x:c r="BO29" s="31" t="n">
        <x:v>3</x:v>
      </x:c>
      <x:c r="BP29" s="31" t="n">
        <x:v>0</x:v>
      </x:c>
      <x:c r="BQ29" s="31" t="n">
        <x:v>0</x:v>
      </x:c>
      <x:c r="BR29" s="31" t="n">
        <x:v>0</x:v>
      </x:c>
      <x:c r="BS29" s="31" t="n">
        <x:v>40</x:v>
      </x:c>
      <x:c r="BT29" s="31" t="n">
        <x:v>36</x:v>
      </x:c>
      <x:c r="BU29" s="31" t="n">
        <x:v>4</x:v>
      </x:c>
      <x:c r="BV29" s="31" t="n">
        <x:v>31</x:v>
      </x:c>
      <x:c r="BW29" s="31" t="n">
        <x:v>29</x:v>
      </x:c>
      <x:c r="BX29" s="31" t="n">
        <x:v>2</x:v>
      </x:c>
      <x:c r="BY29" s="31" t="n">
        <x:v>5</x:v>
      </x:c>
      <x:c r="BZ29" s="31" t="n">
        <x:v>4</x:v>
      </x:c>
      <x:c r="CA29" s="31" t="n">
        <x:v>1</x:v>
      </x:c>
      <x:c r="CB29" s="31" t="n">
        <x:v>3</x:v>
      </x:c>
      <x:c r="CC29" s="31" t="n">
        <x:v>2</x:v>
      </x:c>
      <x:c r="CD29" s="31" t="n">
        <x:v>1</x:v>
      </x:c>
      <x:c r="CE29" s="31" t="n">
        <x:v>1</x:v>
      </x:c>
      <x:c r="CF29" s="31" t="n">
        <x:v>1</x:v>
      </x:c>
      <x:c r="CG29" s="31" t="n">
        <x:v>0</x:v>
      </x:c>
      <x:c r="CH29" s="31" t="n">
        <x:v>62</x:v>
      </x:c>
      <x:c r="CI29" s="31" t="n">
        <x:v>51</x:v>
      </x:c>
      <x:c r="CJ29" s="31" t="n">
        <x:v>11</x:v>
      </x:c>
      <x:c r="CK29" s="31" t="n">
        <x:v>39</x:v>
      </x:c>
      <x:c r="CL29" s="31" t="n">
        <x:v>34</x:v>
      </x:c>
      <x:c r="CM29" s="31" t="n">
        <x:v>5</x:v>
      </x:c>
      <x:c r="CN29" s="31" t="n">
        <x:v>10</x:v>
      </x:c>
      <x:c r="CO29" s="31" t="n">
        <x:v>8</x:v>
      </x:c>
      <x:c r="CP29" s="31" t="n">
        <x:v>2</x:v>
      </x:c>
      <x:c r="CQ29" s="31" t="n">
        <x:v>8</x:v>
      </x:c>
      <x:c r="CR29" s="31" t="n">
        <x:v>5</x:v>
      </x:c>
      <x:c r="CS29" s="31" t="n">
        <x:v>3</x:v>
      </x:c>
      <x:c r="CT29" s="31" t="n">
        <x:v>5</x:v>
      </x:c>
      <x:c r="CU29" s="31" t="n">
        <x:v>4</x:v>
      </x:c>
      <x:c r="CV29" s="31" t="n">
        <x:v>1</x:v>
      </x:c>
      <x:c r="CW29" s="31" t="n">
        <x:v>6</x:v>
      </x:c>
      <x:c r="CX29" s="31" t="n">
        <x:v>4</x:v>
      </x:c>
      <x:c r="CY29" s="31" t="n">
        <x:v>2</x:v>
      </x:c>
      <x:c r="CZ29" s="31" t="n">
        <x:v>11</x:v>
      </x:c>
      <x:c r="DA29" s="31" t="n">
        <x:v>7</x:v>
      </x:c>
      <x:c r="DB29" s="31" t="n">
        <x:v>4</x:v>
      </x:c>
      <x:c r="DC29" s="31" t="n">
        <x:v>8</x:v>
      </x:c>
      <x:c r="DD29" s="31" t="n">
        <x:v>6</x:v>
      </x:c>
      <x:c r="DE29" s="31" t="n">
        <x:v>2</x:v>
      </x:c>
      <x:c r="DF29" s="31" t="n">
        <x:v>40</x:v>
      </x:c>
      <x:c r="DG29" s="31" t="n">
        <x:v>36</x:v>
      </x:c>
      <x:c r="DH29" s="31" t="n">
        <x:v>4</x:v>
      </x:c>
      <x:c r="DI29" s="31" t="n">
        <x:v>7</x:v>
      </x:c>
      <x:c r="DJ29" s="31" t="n">
        <x:v>6</x:v>
      </x:c>
      <x:c r="DK29" s="31" t="n">
        <x:v>1</x:v>
      </x:c>
      <x:c r="DL29" s="31" t="n">
        <x:v>3</x:v>
      </x:c>
      <x:c r="DM29" s="31" t="n">
        <x:v>3</x:v>
      </x:c>
      <x:c r="DN29" s="31" t="n">
        <x:v>0</x:v>
      </x:c>
      <x:c r="DO29" s="31" t="n">
        <x:v>2</x:v>
      </x:c>
      <x:c r="DP29" s="31" t="n">
        <x:v>2</x:v>
      </x:c>
      <x:c r="DQ29" s="31" t="n">
        <x:v>0</x:v>
      </x:c>
      <x:c r="DR29" s="31" t="n">
        <x:v>3</x:v>
      </x:c>
      <x:c r="DS29" s="31" t="n">
        <x:v>3</x:v>
      </x:c>
      <x:c r="DT29" s="31" t="n">
        <x:v>0</x:v>
      </x:c>
      <x:c r="DU29" s="31" t="n">
        <x:v>2</x:v>
      </x:c>
      <x:c r="DV29" s="31" t="n">
        <x:v>2</x:v>
      </x:c>
      <x:c r="DW29" s="31" t="n">
        <x:v>0</x:v>
      </x:c>
      <x:c r="DX29" s="31" t="n">
        <x:v>0</x:v>
      </x:c>
      <x:c r="DY29" s="31" t="n">
        <x:v>0</x:v>
      </x:c>
      <x:c r="DZ29" s="31" t="n">
        <x:v>0</x:v>
      </x:c>
      <x:c r="EA29" s="31" t="n">
        <x:v>0</x:v>
      </x:c>
      <x:c r="EB29" s="31" t="n">
        <x:v>0</x:v>
      </x:c>
      <x:c r="EC29" s="31" t="n">
        <x:v>0</x:v>
      </x:c>
      <x:c r="ED29" s="31" t="n">
        <x:v>0</x:v>
      </x:c>
      <x:c r="EE29" s="31" t="n">
        <x:v>0</x:v>
      </x:c>
      <x:c r="EF29" s="31" t="n">
        <x:v>0</x:v>
      </x:c>
      <x:c r="EG29" s="31" t="n">
        <x:v>23</x:v>
      </x:c>
      <x:c r="EH29" s="31" t="n">
        <x:v>20</x:v>
      </x:c>
      <x:c r="EI29" s="31" t="n">
        <x:v>3</x:v>
      </x:c>
      <x:c r="EJ29" s="31" t="n">
        <x:v>0</x:v>
      </x:c>
      <x:c r="EK29" s="31" t="n">
        <x:v>0</x:v>
      </x:c>
      <x:c r="EL29" s="31" t="n">
        <x:v>0</x:v>
      </x:c>
      <x:c r="EM29" s="31" t="n">
        <x:v>48</x:v>
      </x:c>
      <x:c r="EN29" s="31" t="n">
        <x:v>42</x:v>
      </x:c>
      <x:c r="EO29" s="31" t="n">
        <x:v>6</x:v>
      </x:c>
      <x:c r="EP29" s="31" t="n">
        <x:v>24</x:v>
      </x:c>
      <x:c r="EQ29" s="31" t="n">
        <x:v>21</x:v>
      </x:c>
      <x:c r="ER29" s="31" t="n">
        <x:v>3</x:v>
      </x:c>
      <x:c r="ES29" s="31" t="n">
        <x:v>8</x:v>
      </x:c>
      <x:c r="ET29" s="31" t="n">
        <x:v>6</x:v>
      </x:c>
      <x:c r="EU29" s="31" t="n">
        <x:v>2</x:v>
      </x:c>
      <x:c r="EV29" s="31" t="n">
        <x:v>0</x:v>
      </x:c>
      <x:c r="EW29" s="31" t="n">
        <x:v>0</x:v>
      </x:c>
      <x:c r="EX29" s="31" t="n">
        <x:v>0</x:v>
      </x:c>
      <x:c r="EY29" s="31" t="n">
        <x:v>13</x:v>
      </x:c>
      <x:c r="EZ29" s="31" t="n">
        <x:v>12</x:v>
      </x:c>
      <x:c r="FA29" s="31" t="n">
        <x:v>1</x:v>
      </x:c>
      <x:c r="FB29" s="31" t="n">
        <x:v>3</x:v>
      </x:c>
      <x:c r="FC29" s="31" t="n">
        <x:v>3</x:v>
      </x:c>
      <x:c r="FD29" s="31" t="n">
        <x:v>0</x:v>
      </x:c>
      <x:c r="FE29" s="31" t="n">
        <x:v>22</x:v>
      </x:c>
      <x:c r="FF29" s="31" t="n">
        <x:v>22</x:v>
      </x:c>
      <x:c r="FG29" s="31" t="n">
        <x:v>19</x:v>
      </x:c>
      <x:c r="FH29" s="31" t="n">
        <x:v>0</x:v>
      </x:c>
      <x:c r="FI29" s="31" t="n">
        <x:v>3</x:v>
      </x:c>
      <x:c r="FJ29" s="31" t="n">
        <x:v>0</x:v>
      </x:c>
      <x:c r="FK29" s="31" t="n">
        <x:v>19</x:v>
      </x:c>
      <x:c r="FL29" s="31" t="n">
        <x:v>8</x:v>
      </x:c>
      <x:c r="FM29" s="31" t="n">
        <x:v>0</x:v>
      </x:c>
      <x:c r="FN29" s="31" t="n">
        <x:v>0</x:v>
      </x:c>
      <x:c r="FO29" s="31" t="n">
        <x:v>3</x:v>
      </x:c>
      <x:c r="FP29" s="31" t="n">
        <x:v>8</x:v>
      </x:c>
      <x:c r="FQ29" s="31" t="n">
        <x:v>19</x:v>
      </x:c>
      <x:c r="FR29" s="31" t="n">
        <x:v>6</x:v>
      </x:c>
      <x:c r="FS29" s="31" t="n">
        <x:v>5</x:v>
      </x:c>
      <x:c r="FT29" s="31" t="n">
        <x:v>6</x:v>
      </x:c>
      <x:c r="FU29" s="31" t="n">
        <x:v>0</x:v>
      </x:c>
      <x:c r="FV29" s="31" t="n">
        <x:v>2</x:v>
      </x:c>
      <x:c r="FW29" s="31" t="n">
        <x:v>19</x:v>
      </x:c>
      <x:c r="FX29" s="31" t="n">
        <x:v>4</x:v>
      </x:c>
      <x:c r="FY29" s="31" t="n">
        <x:v>0</x:v>
      </x:c>
      <x:c r="FZ29" s="31" t="n">
        <x:v>5</x:v>
      </x:c>
      <x:c r="GA29" s="31" t="n">
        <x:v>7</x:v>
      </x:c>
      <x:c r="GB29" s="31" t="n">
        <x:v>0</x:v>
      </x:c>
      <x:c r="GC29" s="31" t="n">
        <x:v>3</x:v>
      </x:c>
      <x:c r="GD29" s="31" t="n">
        <x:v>0</x:v>
      </x:c>
      <x:c r="GE29" s="31" t="n">
        <x:v>0</x:v>
      </x:c>
      <x:c r="GF29" s="31" t="n">
        <x:v>0</x:v>
      </x:c>
      <x:c r="GG29" s="31" t="n">
        <x:v>19</x:v>
      </x:c>
      <x:c r="GH29" s="31" t="n">
        <x:v>4</x:v>
      </x:c>
      <x:c r="GI29" s="31" t="n">
        <x:v>2</x:v>
      </x:c>
      <x:c r="GJ29" s="31" t="n">
        <x:v>9</x:v>
      </x:c>
      <x:c r="GK29" s="31" t="n">
        <x:v>0</x:v>
      </x:c>
      <x:c r="GL29" s="31" t="n">
        <x:v>3</x:v>
      </x:c>
      <x:c r="GM29" s="31" t="n">
        <x:v>0</x:v>
      </x:c>
      <x:c r="GN29" s="31" t="n">
        <x:v>1</x:v>
      </x:c>
      <x:c r="GO29" s="31" t="n">
        <x:v>19</x:v>
      </x:c>
      <x:c r="GP29" s="31" t="n">
        <x:v>9</x:v>
      </x:c>
      <x:c r="GQ29" s="31" t="n">
        <x:v>0</x:v>
      </x:c>
      <x:c r="GR29" s="31" t="n">
        <x:v>10</x:v>
      </x:c>
      <x:c r="GS29" s="31" t="n">
        <x:v>0</x:v>
      </x:c>
      <x:c r="GT29" s="31" t="n">
        <x:v>0</x:v>
      </x:c>
      <x:c r="GU29" s="31" t="n">
        <x:v>0</x:v>
      </x:c>
      <x:c r="GV29" s="31" t="n">
        <x:v>0</x:v>
      </x:c>
      <x:c r="GW29" s="31" t="n">
        <x:v>0</x:v>
      </x:c>
      <x:c r="GX29" s="31" t="n">
        <x:v>19</x:v>
      </x:c>
      <x:c r="GY29" s="31" t="n">
        <x:v>5</x:v>
      </x:c>
      <x:c r="GZ29" s="31" t="n">
        <x:v>3</x:v>
      </x:c>
      <x:c r="HA29" s="31" t="n">
        <x:v>2</x:v>
      </x:c>
      <x:c r="HB29" s="31" t="n">
        <x:v>0</x:v>
      </x:c>
      <x:c r="HC29" s="31" t="n">
        <x:v>6</x:v>
      </x:c>
      <x:c r="HD29" s="31" t="n">
        <x:v>0</x:v>
      </x:c>
      <x:c r="HE29" s="31" t="n">
        <x:v>3</x:v>
      </x:c>
      <x:c r="HF29" s="31" t="n">
        <x:v>19</x:v>
      </x:c>
      <x:c r="HG29" s="31" t="n">
        <x:v>3</x:v>
      </x:c>
      <x:c r="HH29" s="31" t="n">
        <x:v>4</x:v>
      </x:c>
      <x:c r="HI29" s="31" t="n">
        <x:v>9</x:v>
      </x:c>
      <x:c r="HJ29" s="31" t="n">
        <x:v>9</x:v>
      </x:c>
      <x:c r="HK29" s="31" t="str">
        <x:v>Ficha_INE_Otuquis.pdf</x:v>
      </x:c>
      <x:c r="HL29" s="31" t="str">
        <x:v>Instituto Nacional de Estadística, Censo de Población y Vivienda 2024</x:v>
      </x:c>
    </x:row>
    <x:row r="30" ht="20" customHeight="1">
      <x:c r="A30" s="31" t="str">
        <x:v>Charagua-01</x:v>
      </x:c>
      <x:c r="B30" s="31" t="str">
        <x:v>Guajukaka</x:v>
      </x:c>
      <x:c r="C30" s="31" t="n">
        <x:v>24</x:v>
      </x:c>
      <x:c r="D30" s="31" t="str">
        <x:v>Sí</x:v>
      </x:c>
      <x:c r="E30" s="31" t="str">
        <x:v>SANTA CRUZ</x:v>
      </x:c>
      <x:c r="F30" s="31" t="str">
        <x:v>CORDILLERA</x:v>
      </x:c>
      <x:c r="G30" s="31" t="str">
        <x:v>CHARAGUA (AUTONOMÍA GUARANÍ</x:v>
      </x:c>
      <x:c r="H30" s="31" t="n">
        <x:v>60</x:v>
      </x:c>
      <x:c r="I30" s="31" t="n">
        <x:v>38</x:v>
      </x:c>
      <x:c r="J30" s="31" t="n">
        <x:v>22</x:v>
      </x:c>
      <x:c r="K30" s="31" t="n">
        <x:v>14</x:v>
      </x:c>
      <x:c r="L30" s="31" t="n">
        <x:v>8</x:v>
      </x:c>
      <x:c r="M30" s="31" t="n">
        <x:v>6</x:v>
      </x:c>
      <x:c r="N30" s="31" t="n">
        <x:v>18</x:v>
      </x:c>
      <x:c r="O30" s="31" t="n">
        <x:v>10</x:v>
      </x:c>
      <x:c r="P30" s="31" t="n">
        <x:v>8</x:v>
      </x:c>
      <x:c r="Q30" s="31" t="n">
        <x:v>19</x:v>
      </x:c>
      <x:c r="R30" s="31" t="n">
        <x:v>13</x:v>
      </x:c>
      <x:c r="S30" s="31" t="n">
        <x:v>6</x:v>
      </x:c>
      <x:c r="T30" s="31" t="n">
        <x:v>9</x:v>
      </x:c>
      <x:c r="U30" s="31" t="n">
        <x:v>7</x:v>
      </x:c>
      <x:c r="V30" s="31" t="n">
        <x:v>2</x:v>
      </x:c>
      <x:c r="W30" s="31" t="n">
        <x:v>60</x:v>
      </x:c>
      <x:c r="X30" s="31" t="n">
        <x:v>38</x:v>
      </x:c>
      <x:c r="Y30" s="31" t="n">
        <x:v>22</x:v>
      </x:c>
      <x:c r="Z30" s="31" t="n">
        <x:v>25</x:v>
      </x:c>
      <x:c r="AA30" s="31" t="n">
        <x:v>13</x:v>
      </x:c>
      <x:c r="AB30" s="31" t="n">
        <x:v>12</x:v>
      </x:c>
      <x:c r="AC30" s="31" t="n">
        <x:v>34</x:v>
      </x:c>
      <x:c r="AD30" s="31" t="n">
        <x:v>25</x:v>
      </x:c>
      <x:c r="AE30" s="31" t="n">
        <x:v>9</x:v>
      </x:c>
      <x:c r="AF30" s="31" t="n">
        <x:v>1</x:v>
      </x:c>
      <x:c r="AG30" s="31" t="n">
        <x:v>0</x:v>
      </x:c>
      <x:c r="AH30" s="31" t="n">
        <x:v>1</x:v>
      </x:c>
      <x:c r="AI30" s="31" t="n">
        <x:v>0</x:v>
      </x:c>
      <x:c r="AJ30" s="31" t="n">
        <x:v>0</x:v>
      </x:c>
      <x:c r="AK30" s="31" t="n">
        <x:v>0</x:v>
      </x:c>
      <x:c r="AL30" s="31" t="n">
        <x:v>60</x:v>
      </x:c>
      <x:c r="AM30" s="31" t="n">
        <x:v>38</x:v>
      </x:c>
      <x:c r="AN30" s="31" t="n">
        <x:v>22</x:v>
      </x:c>
      <x:c r="AO30" s="31" t="n">
        <x:v>46</x:v>
      </x:c>
      <x:c r="AP30" s="31" t="n">
        <x:v>30</x:v>
      </x:c>
      <x:c r="AQ30" s="31" t="n">
        <x:v>16</x:v>
      </x:c>
      <x:c r="AR30" s="31" t="n">
        <x:v>13</x:v>
      </x:c>
      <x:c r="AS30" s="31" t="n">
        <x:v>8</x:v>
      </x:c>
      <x:c r="AT30" s="31" t="n">
        <x:v>5</x:v>
      </x:c>
      <x:c r="AU30" s="31" t="n">
        <x:v>0</x:v>
      </x:c>
      <x:c r="AV30" s="31" t="n">
        <x:v>0</x:v>
      </x:c>
      <x:c r="AW30" s="31" t="n">
        <x:v>0</x:v>
      </x:c>
      <x:c r="AX30" s="31" t="n">
        <x:v>1</x:v>
      </x:c>
      <x:c r="AY30" s="31" t="n">
        <x:v>0</x:v>
      </x:c>
      <x:c r="AZ30" s="31" t="n">
        <x:v>1</x:v>
      </x:c>
      <x:c r="BA30" s="31" t="n">
        <x:v>45</x:v>
      </x:c>
      <x:c r="BB30" s="31" t="n">
        <x:v>30</x:v>
      </x:c>
      <x:c r="BC30" s="31" t="n">
        <x:v>15</x:v>
      </x:c>
      <x:c r="BD30" s="31" t="n">
        <x:v>2</x:v>
      </x:c>
      <x:c r="BE30" s="31" t="n">
        <x:v>1</x:v>
      </x:c>
      <x:c r="BF30" s="31" t="n">
        <x:v>1</x:v>
      </x:c>
      <x:c r="BG30" s="31" t="n">
        <x:v>3</x:v>
      </x:c>
      <x:c r="BH30" s="31" t="n">
        <x:v>2</x:v>
      </x:c>
      <x:c r="BI30" s="31" t="n">
        <x:v>1</x:v>
      </x:c>
      <x:c r="BJ30" s="31" t="n">
        <x:v>23</x:v>
      </x:c>
      <x:c r="BK30" s="31" t="n">
        <x:v>15</x:v>
      </x:c>
      <x:c r="BL30" s="31" t="n">
        <x:v>8</x:v>
      </x:c>
      <x:c r="BM30" s="31" t="n">
        <x:v>7</x:v>
      </x:c>
      <x:c r="BN30" s="31" t="n">
        <x:v>6</x:v>
      </x:c>
      <x:c r="BO30" s="31" t="n">
        <x:v>1</x:v>
      </x:c>
      <x:c r="BP30" s="31" t="n">
        <x:v>10</x:v>
      </x:c>
      <x:c r="BQ30" s="31" t="n">
        <x:v>6</x:v>
      </x:c>
      <x:c r="BR30" s="31" t="n">
        <x:v>4</x:v>
      </x:c>
      <x:c r="BS30" s="31" t="n">
        <x:v>33</x:v>
      </x:c>
      <x:c r="BT30" s="31" t="n">
        <x:v>24</x:v>
      </x:c>
      <x:c r="BU30" s="31" t="n">
        <x:v>9</x:v>
      </x:c>
      <x:c r="BV30" s="31" t="n">
        <x:v>5</x:v>
      </x:c>
      <x:c r="BW30" s="31" t="n">
        <x:v>5</x:v>
      </x:c>
      <x:c r="BX30" s="31" t="n">
        <x:v>0</x:v>
      </x:c>
      <x:c r="BY30" s="31" t="n">
        <x:v>23</x:v>
      </x:c>
      <x:c r="BZ30" s="31" t="n">
        <x:v>16</x:v>
      </x:c>
      <x:c r="CA30" s="31" t="n">
        <x:v>7</x:v>
      </x:c>
      <x:c r="CB30" s="31" t="n">
        <x:v>2</x:v>
      </x:c>
      <x:c r="CC30" s="31" t="n">
        <x:v>2</x:v>
      </x:c>
      <x:c r="CD30" s="31" t="n">
        <x:v>0</x:v>
      </x:c>
      <x:c r="CE30" s="31" t="n">
        <x:v>3</x:v>
      </x:c>
      <x:c r="CF30" s="31" t="n">
        <x:v>1</x:v>
      </x:c>
      <x:c r="CG30" s="31" t="n">
        <x:v>2</x:v>
      </x:c>
      <x:c r="CH30" s="31" t="n">
        <x:v>60</x:v>
      </x:c>
      <x:c r="CI30" s="31" t="n">
        <x:v>38</x:v>
      </x:c>
      <x:c r="CJ30" s="31" t="n">
        <x:v>22</x:v>
      </x:c>
      <x:c r="CK30" s="31" t="n">
        <x:v>45</x:v>
      </x:c>
      <x:c r="CL30" s="31" t="n">
        <x:v>28</x:v>
      </x:c>
      <x:c r="CM30" s="31" t="n">
        <x:v>17</x:v>
      </x:c>
      <x:c r="CN30" s="31" t="n">
        <x:v>3</x:v>
      </x:c>
      <x:c r="CO30" s="31" t="n">
        <x:v>3</x:v>
      </x:c>
      <x:c r="CP30" s="31" t="n">
        <x:v>0</x:v>
      </x:c>
      <x:c r="CQ30" s="31" t="n">
        <x:v>10</x:v>
      </x:c>
      <x:c r="CR30" s="31" t="n">
        <x:v>7</x:v>
      </x:c>
      <x:c r="CS30" s="31" t="n">
        <x:v>3</x:v>
      </x:c>
      <x:c r="CT30" s="31" t="n">
        <x:v>3</x:v>
      </x:c>
      <x:c r="CU30" s="31" t="n">
        <x:v>2</x:v>
      </x:c>
      <x:c r="CV30" s="31" t="n">
        <x:v>1</x:v>
      </x:c>
      <x:c r="CW30" s="31" t="n">
        <x:v>0</x:v>
      </x:c>
      <x:c r="CX30" s="31" t="n">
        <x:v>0</x:v>
      </x:c>
      <x:c r="CY30" s="31" t="n">
        <x:v>0</x:v>
      </x:c>
      <x:c r="CZ30" s="31" t="n">
        <x:v>0</x:v>
      </x:c>
      <x:c r="DA30" s="31" t="n">
        <x:v>0</x:v>
      </x:c>
      <x:c r="DB30" s="31" t="n">
        <x:v>0</x:v>
      </x:c>
      <x:c r="DC30" s="31" t="n">
        <x:v>10</x:v>
      </x:c>
      <x:c r="DD30" s="31" t="n">
        <x:v>7</x:v>
      </x:c>
      <x:c r="DE30" s="31" t="n">
        <x:v>3</x:v>
      </x:c>
      <x:c r="DF30" s="31" t="n">
        <x:v>33</x:v>
      </x:c>
      <x:c r="DG30" s="31" t="n">
        <x:v>24</x:v>
      </x:c>
      <x:c r="DH30" s="31" t="n">
        <x:v>9</x:v>
      </x:c>
      <x:c r="DI30" s="31" t="n">
        <x:v>29</x:v>
      </x:c>
      <x:c r="DJ30" s="31" t="n">
        <x:v>21</x:v>
      </x:c>
      <x:c r="DK30" s="31" t="n">
        <x:v>8</x:v>
      </x:c>
      <x:c r="DL30" s="31" t="n">
        <x:v>1</x:v>
      </x:c>
      <x:c r="DM30" s="31" t="n">
        <x:v>1</x:v>
      </x:c>
      <x:c r="DN30" s="31" t="n">
        <x:v>0</x:v>
      </x:c>
      <x:c r="DO30" s="31" t="n">
        <x:v>1</x:v>
      </x:c>
      <x:c r="DP30" s="31" t="n">
        <x:v>0</x:v>
      </x:c>
      <x:c r="DQ30" s="31" t="n">
        <x:v>1</x:v>
      </x:c>
      <x:c r="DR30" s="31" t="n">
        <x:v>0</x:v>
      </x:c>
      <x:c r="DS30" s="31" t="n">
        <x:v>0</x:v>
      </x:c>
      <x:c r="DT30" s="31" t="n">
        <x:v>0</x:v>
      </x:c>
      <x:c r="DU30" s="31" t="n">
        <x:v>1</x:v>
      </x:c>
      <x:c r="DV30" s="31" t="n">
        <x:v>1</x:v>
      </x:c>
      <x:c r="DW30" s="31" t="n">
        <x:v>0</x:v>
      </x:c>
      <x:c r="DX30" s="31" t="n">
        <x:v>0</x:v>
      </x:c>
      <x:c r="DY30" s="31" t="n">
        <x:v>0</x:v>
      </x:c>
      <x:c r="DZ30" s="31" t="n">
        <x:v>0</x:v>
      </x:c>
      <x:c r="EA30" s="31" t="n">
        <x:v>0</x:v>
      </x:c>
      <x:c r="EB30" s="31" t="n">
        <x:v>0</x:v>
      </x:c>
      <x:c r="EC30" s="31" t="n">
        <x:v>0</x:v>
      </x:c>
      <x:c r="ED30" s="31" t="n">
        <x:v>0</x:v>
      </x:c>
      <x:c r="EE30" s="31" t="n">
        <x:v>0</x:v>
      </x:c>
      <x:c r="EF30" s="31" t="n">
        <x:v>0</x:v>
      </x:c>
      <x:c r="EG30" s="31" t="n">
        <x:v>1</x:v>
      </x:c>
      <x:c r="EH30" s="31" t="n">
        <x:v>1</x:v>
      </x:c>
      <x:c r="EI30" s="31" t="n">
        <x:v>0</x:v>
      </x:c>
      <x:c r="EJ30" s="31" t="n">
        <x:v>0</x:v>
      </x:c>
      <x:c r="EK30" s="31" t="n">
        <x:v>0</x:v>
      </x:c>
      <x:c r="EL30" s="31" t="n">
        <x:v>0</x:v>
      </x:c>
      <x:c r="EM30" s="31" t="n">
        <x:v>59</x:v>
      </x:c>
      <x:c r="EN30" s="31" t="n">
        <x:v>38</x:v>
      </x:c>
      <x:c r="EO30" s="31" t="n">
        <x:v>21</x:v>
      </x:c>
      <x:c r="EP30" s="31" t="n">
        <x:v>30</x:v>
      </x:c>
      <x:c r="EQ30" s="31" t="n">
        <x:v>20</x:v>
      </x:c>
      <x:c r="ER30" s="31" t="n">
        <x:v>10</x:v>
      </x:c>
      <x:c r="ES30" s="31" t="n">
        <x:v>5</x:v>
      </x:c>
      <x:c r="ET30" s="31" t="n">
        <x:v>3</x:v>
      </x:c>
      <x:c r="EU30" s="31" t="n">
        <x:v>2</x:v>
      </x:c>
      <x:c r="EV30" s="31" t="n">
        <x:v>7</x:v>
      </x:c>
      <x:c r="EW30" s="31" t="n">
        <x:v>5</x:v>
      </x:c>
      <x:c r="EX30" s="31" t="n">
        <x:v>2</x:v>
      </x:c>
      <x:c r="EY30" s="31" t="n">
        <x:v>6</x:v>
      </x:c>
      <x:c r="EZ30" s="31" t="n">
        <x:v>3</x:v>
      </x:c>
      <x:c r="FA30" s="31" t="n">
        <x:v>3</x:v>
      </x:c>
      <x:c r="FB30" s="31" t="n">
        <x:v>11</x:v>
      </x:c>
      <x:c r="FC30" s="31" t="n">
        <x:v>7</x:v>
      </x:c>
      <x:c r="FD30" s="31" t="n">
        <x:v>4</x:v>
      </x:c>
      <x:c r="FE30" s="31" t="n">
        <x:v>63</x:v>
      </x:c>
      <x:c r="FF30" s="31" t="n">
        <x:v>62</x:v>
      </x:c>
      <x:c r="FG30" s="31" t="n">
        <x:v>16</x:v>
      </x:c>
      <x:c r="FH30" s="31" t="n">
        <x:v>44</x:v>
      </x:c>
      <x:c r="FI30" s="31" t="n">
        <x:v>2</x:v>
      </x:c>
      <x:c r="FJ30" s="31" t="n">
        <x:v>1</x:v>
      </x:c>
      <x:c r="FK30" s="31" t="n">
        <x:v>16</x:v>
      </x:c>
      <x:c r="FL30" s="31" t="n">
        <x:v>15</x:v>
      </x:c>
      <x:c r="FM30" s="31" t="n">
        <x:v>0</x:v>
      </x:c>
      <x:c r="FN30" s="31" t="n">
        <x:v>0</x:v>
      </x:c>
      <x:c r="FO30" s="31" t="n">
        <x:v>1</x:v>
      </x:c>
      <x:c r="FP30" s="31" t="n">
        <x:v>0</x:v>
      </x:c>
      <x:c r="FQ30" s="31" t="n">
        <x:v>16</x:v>
      </x:c>
      <x:c r="FR30" s="31" t="n">
        <x:v>0</x:v>
      </x:c>
      <x:c r="FS30" s="31" t="n">
        <x:v>2</x:v>
      </x:c>
      <x:c r="FT30" s="31" t="n">
        <x:v>10</x:v>
      </x:c>
      <x:c r="FU30" s="31" t="n">
        <x:v>0</x:v>
      </x:c>
      <x:c r="FV30" s="31" t="n">
        <x:v>4</x:v>
      </x:c>
      <x:c r="FW30" s="31" t="n">
        <x:v>16</x:v>
      </x:c>
      <x:c r="FX30" s="31" t="n">
        <x:v>0</x:v>
      </x:c>
      <x:c r="FY30" s="31" t="n">
        <x:v>0</x:v>
      </x:c>
      <x:c r="FZ30" s="31" t="n">
        <x:v>0</x:v>
      </x:c>
      <x:c r="GA30" s="31" t="n">
        <x:v>10</x:v>
      </x:c>
      <x:c r="GB30" s="31" t="n">
        <x:v>5</x:v>
      </x:c>
      <x:c r="GC30" s="31" t="n">
        <x:v>0</x:v>
      </x:c>
      <x:c r="GD30" s="31" t="n">
        <x:v>0</x:v>
      </x:c>
      <x:c r="GE30" s="31" t="n">
        <x:v>1</x:v>
      </x:c>
      <x:c r="GF30" s="31" t="n">
        <x:v>0</x:v>
      </x:c>
      <x:c r="GG30" s="31" t="n">
        <x:v>16</x:v>
      </x:c>
      <x:c r="GH30" s="31" t="n">
        <x:v>0</x:v>
      </x:c>
      <x:c r="GI30" s="31" t="n">
        <x:v>2</x:v>
      </x:c>
      <x:c r="GJ30" s="31" t="n">
        <x:v>6</x:v>
      </x:c>
      <x:c r="GK30" s="31" t="n">
        <x:v>0</x:v>
      </x:c>
      <x:c r="GL30" s="31" t="n">
        <x:v>0</x:v>
      </x:c>
      <x:c r="GM30" s="31" t="n">
        <x:v>1</x:v>
      </x:c>
      <x:c r="GN30" s="31" t="n">
        <x:v>7</x:v>
      </x:c>
      <x:c r="GO30" s="31" t="n">
        <x:v>16</x:v>
      </x:c>
      <x:c r="GP30" s="31" t="n">
        <x:v>0</x:v>
      </x:c>
      <x:c r="GQ30" s="31" t="n">
        <x:v>0</x:v>
      </x:c>
      <x:c r="GR30" s="31" t="n">
        <x:v>16</x:v>
      </x:c>
      <x:c r="GS30" s="31" t="n">
        <x:v>0</x:v>
      </x:c>
      <x:c r="GT30" s="31" t="n">
        <x:v>0</x:v>
      </x:c>
      <x:c r="GU30" s="31" t="n">
        <x:v>0</x:v>
      </x:c>
      <x:c r="GV30" s="31" t="n">
        <x:v>0</x:v>
      </x:c>
      <x:c r="GW30" s="31" t="n">
        <x:v>0</x:v>
      </x:c>
      <x:c r="GX30" s="31" t="n">
        <x:v>16</x:v>
      </x:c>
      <x:c r="GY30" s="31" t="n">
        <x:v>1</x:v>
      </x:c>
      <x:c r="GZ30" s="31" t="n">
        <x:v>0</x:v>
      </x:c>
      <x:c r="HA30" s="31" t="n">
        <x:v>0</x:v>
      </x:c>
      <x:c r="HB30" s="31" t="n">
        <x:v>0</x:v>
      </x:c>
      <x:c r="HC30" s="31" t="n">
        <x:v>14</x:v>
      </x:c>
      <x:c r="HD30" s="31" t="n">
        <x:v>1</x:v>
      </x:c>
      <x:c r="HE30" s="31" t="n">
        <x:v>0</x:v>
      </x:c>
      <x:c r="HF30" s="31" t="n">
        <x:v>16</x:v>
      </x:c>
      <x:c r="HG30" s="31" t="n">
        <x:v>11</x:v>
      </x:c>
      <x:c r="HH30" s="31" t="n">
        <x:v>0</x:v>
      </x:c>
      <x:c r="HI30" s="31" t="n">
        <x:v>6</x:v>
      </x:c>
      <x:c r="HJ30" s="31" t="n">
        <x:v>1</x:v>
      </x:c>
      <x:c r="HK30" s="31" t="str">
        <x:v>Ficha_INE_Guajukaka.pdf</x:v>
      </x:c>
      <x:c r="HL30" s="31" t="str">
        <x:v>Instituto Nacional de Estadística, Censo de Población y Vivienda 2024</x:v>
      </x:c>
    </x:row>
    <x:row r="31" ht="20" customHeight="1">
      <x:c r="A31" s="32" t="str">
        <x:v>AP-0701</x:v>
      </x:c>
      <x:c r="B31" s="32" t="str">
        <x:v>Noel Kempff Mercado</x:v>
      </x:c>
      <x:c r="C31" s="32" t="n">
        <x:v>13</x:v>
      </x:c>
      <x:c r="D31" s="32" t="str">
        <x:v>No</x:v>
      </x:c>
      <x:c r="E31" s="32" t="str"/>
      <x:c r="F31" s="32" t="str"/>
      <x:c r="G31" s="32" t="str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Y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  <x:c r="BN31" s="32"/>
      <x:c r="BO31" s="32"/>
      <x:c r="BP31" s="32"/>
      <x:c r="BQ31" s="32"/>
      <x:c r="BR31" s="32"/>
      <x:c r="BS31" s="32"/>
      <x:c r="BT31" s="32"/>
      <x:c r="BU31" s="32"/>
      <x:c r="BV31" s="32"/>
      <x:c r="BW31" s="32"/>
      <x:c r="BX31" s="32"/>
      <x:c r="BY31" s="32"/>
      <x:c r="BZ31" s="32"/>
      <x:c r="CA31" s="32"/>
      <x:c r="CB31" s="32"/>
      <x:c r="CC31" s="32"/>
      <x:c r="CD31" s="32"/>
      <x:c r="CE31" s="32"/>
      <x:c r="CF31" s="32"/>
      <x:c r="CG31" s="32"/>
      <x:c r="CH31" s="32"/>
      <x:c r="CI31" s="32"/>
      <x:c r="CJ31" s="32"/>
      <x:c r="CK31" s="32"/>
      <x:c r="CL31" s="32"/>
      <x:c r="CM31" s="32"/>
      <x:c r="CN31" s="32"/>
      <x:c r="CO31" s="32"/>
      <x:c r="CP31" s="32"/>
      <x:c r="CQ31" s="32"/>
      <x:c r="CR31" s="32"/>
      <x:c r="CS31" s="32"/>
      <x:c r="CT31" s="32"/>
      <x:c r="CU31" s="32"/>
      <x:c r="CV31" s="32"/>
      <x:c r="CW31" s="32"/>
      <x:c r="CX31" s="32"/>
      <x:c r="CY31" s="32"/>
      <x:c r="CZ31" s="32"/>
      <x:c r="DA31" s="32"/>
      <x:c r="DB31" s="32"/>
      <x:c r="DC31" s="32"/>
      <x:c r="DD31" s="32"/>
      <x:c r="DE31" s="32"/>
      <x:c r="DF31" s="32"/>
      <x:c r="DG31" s="32"/>
      <x:c r="DH31" s="32"/>
      <x:c r="DI31" s="32"/>
      <x:c r="DJ31" s="32"/>
      <x:c r="DK31" s="32"/>
      <x:c r="DL31" s="32"/>
      <x:c r="DM31" s="32"/>
      <x:c r="DN31" s="32"/>
      <x:c r="DO31" s="32"/>
      <x:c r="DP31" s="32"/>
      <x:c r="DQ31" s="32"/>
      <x:c r="DR31" s="32"/>
      <x:c r="DS31" s="32"/>
      <x:c r="DT31" s="32"/>
      <x:c r="DU31" s="32"/>
      <x:c r="DV31" s="32"/>
      <x:c r="DW31" s="32"/>
      <x:c r="DX31" s="32"/>
      <x:c r="DY31" s="32"/>
      <x:c r="DZ31" s="32"/>
      <x:c r="EA31" s="32"/>
      <x:c r="EB31" s="32"/>
      <x:c r="EC31" s="32"/>
      <x:c r="ED31" s="32"/>
      <x:c r="EE31" s="32"/>
      <x:c r="EF31" s="32"/>
      <x:c r="EG31" s="32"/>
      <x:c r="EH31" s="32"/>
      <x:c r="EI31" s="32"/>
      <x:c r="EJ31" s="32"/>
      <x:c r="EK31" s="32"/>
      <x:c r="EL31" s="32"/>
      <x:c r="EM31" s="32"/>
      <x:c r="EN31" s="32"/>
      <x:c r="EO31" s="32"/>
      <x:c r="EP31" s="32"/>
      <x:c r="EQ31" s="32"/>
      <x:c r="ER31" s="32"/>
      <x:c r="ES31" s="32"/>
      <x:c r="ET31" s="32"/>
      <x:c r="EU31" s="32"/>
      <x:c r="EV31" s="32"/>
      <x:c r="EW31" s="32"/>
      <x:c r="EX31" s="32"/>
      <x:c r="EY31" s="32"/>
      <x:c r="EZ31" s="32"/>
      <x:c r="FA31" s="32"/>
      <x:c r="FB31" s="32"/>
      <x:c r="FC31" s="32"/>
      <x:c r="FD31" s="32"/>
      <x:c r="FE31" s="32"/>
      <x:c r="FF31" s="32"/>
      <x:c r="FG31" s="32"/>
      <x:c r="FH31" s="32"/>
      <x:c r="FI31" s="32"/>
      <x:c r="FJ31" s="32"/>
      <x:c r="FK31" s="32"/>
      <x:c r="FL31" s="32"/>
      <x:c r="FM31" s="32"/>
      <x:c r="FN31" s="32"/>
      <x:c r="FO31" s="32"/>
      <x:c r="FP31" s="32"/>
      <x:c r="FQ31" s="32"/>
      <x:c r="FR31" s="32"/>
      <x:c r="FS31" s="32"/>
      <x:c r="FT31" s="32"/>
      <x:c r="FU31" s="32"/>
      <x:c r="FV31" s="32"/>
      <x:c r="FW31" s="32"/>
      <x:c r="FX31" s="32"/>
      <x:c r="FY31" s="32"/>
      <x:c r="FZ31" s="32"/>
      <x:c r="GA31" s="32"/>
      <x:c r="GB31" s="32"/>
      <x:c r="GC31" s="32"/>
      <x:c r="GD31" s="32"/>
      <x:c r="GE31" s="32"/>
      <x:c r="GF31" s="32"/>
      <x:c r="GG31" s="32"/>
      <x:c r="GH31" s="32"/>
      <x:c r="GI31" s="32"/>
      <x:c r="GJ31" s="32"/>
      <x:c r="GK31" s="32"/>
      <x:c r="GL31" s="32"/>
      <x:c r="GM31" s="32"/>
      <x:c r="GN31" s="32"/>
      <x:c r="GO31" s="32"/>
      <x:c r="GP31" s="32"/>
      <x:c r="GQ31" s="32"/>
      <x:c r="GR31" s="32"/>
      <x:c r="GS31" s="32"/>
      <x:c r="GT31" s="32"/>
      <x:c r="GU31" s="32"/>
      <x:c r="GV31" s="32"/>
      <x:c r="GW31" s="32"/>
      <x:c r="GX31" s="32"/>
      <x:c r="GY31" s="32"/>
      <x:c r="GZ31" s="32"/>
      <x:c r="HA31" s="32"/>
      <x:c r="HB31" s="32"/>
      <x:c r="HC31" s="32"/>
      <x:c r="HD31" s="32"/>
      <x:c r="HE31" s="32"/>
      <x:c r="HF31" s="32"/>
      <x:c r="HG31" s="32"/>
      <x:c r="HH31" s="32"/>
      <x:c r="HI31" s="32"/>
      <x:c r="HJ31" s="32"/>
      <x:c r="HK31" s="32" t="str"/>
      <x:c r="HL31" s="32" t="str">
        <x:v>Sin ficha PDF disponible en la carpeta proporcionada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710e4a5224344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62" hidden="0" customWidth="1"/>
  </x:cols>
  <x:sheetData>
    <x:row r="1" ht="30" customHeight="1">
      <x:c r="A1" s="25" t="str">
        <x:v>Diccionario de variables</x:v>
      </x:c>
      <x:c r="B1" s="25"/>
      <x:c r="C1" s="25"/>
    </x:row>
    <x:row r="3" ht="26" customHeight="1">
      <x:c r="A3" s="9" t="str">
        <x:v>Campo técnico</x:v>
      </x:c>
      <x:c r="B3" s="9" t="str">
        <x:v>Nombre en Excel</x:v>
      </x:c>
      <x:c r="C3" s="9" t="str">
        <x:v>Descripción</x:v>
      </x:c>
    </x:row>
    <x:row r="4" ht="22" customHeight="1">
      <x:c r="A4" s="33" t="str">
        <x:v>ap_codigo</x:v>
      </x:c>
      <x:c r="B4" s="33" t="str">
        <x:v>Código AP</x:v>
      </x:c>
      <x:c r="C4" s="33" t="str">
        <x:v>Identificador o texto descriptivo extraído/asociado a la ficha.</x:v>
      </x:c>
    </x:row>
    <x:row r="5" ht="22" customHeight="1">
      <x:c r="A5" s="34" t="str">
        <x:v>area_protegida</x:v>
      </x:c>
      <x:c r="B5" s="34" t="str">
        <x:v>Área protegida</x:v>
      </x:c>
      <x:c r="C5" s="34" t="str">
        <x:v>Identificador o texto descriptivo extraído/asociado a la ficha.</x:v>
      </x:c>
    </x:row>
    <x:row r="6" ht="22" customHeight="1">
      <x:c r="A6" s="34" t="str">
        <x:v>orden_ap</x:v>
      </x:c>
      <x:c r="B6" s="34" t="str">
        <x:v>Orden AP</x:v>
      </x:c>
      <x:c r="C6" s="34" t="str">
        <x:v>Conteo de personas, viviendas u hogares según la variable de la ficha INE.</x:v>
      </x:c>
    </x:row>
    <x:row r="7" ht="22" customHeight="1">
      <x:c r="A7" s="34" t="str">
        <x:v>tiene_ficha</x:v>
      </x:c>
      <x:c r="B7" s="34" t="str">
        <x:v>Ficha disponible</x:v>
      </x:c>
      <x:c r="C7" s="34" t="str">
        <x:v>Indica si se encontró una ficha PDF para el área protegida.</x:v>
      </x:c>
    </x:row>
    <x:row r="8" ht="22" customHeight="1">
      <x:c r="A8" s="34" t="str">
        <x:v>departamentos</x:v>
      </x:c>
      <x:c r="B8" s="34" t="str">
        <x:v>Departamento(s)</x:v>
      </x:c>
      <x:c r="C8" s="34" t="str">
        <x:v>Identificador o texto descriptivo extraído/asociado a la ficha.</x:v>
      </x:c>
    </x:row>
    <x:row r="9" ht="22" customHeight="1">
      <x:c r="A9" s="34" t="str">
        <x:v>provincias</x:v>
      </x:c>
      <x:c r="B9" s="34" t="str">
        <x:v>Provincia(s)</x:v>
      </x:c>
      <x:c r="C9" s="34" t="str">
        <x:v>Identificador o texto descriptivo extraído/asociado a la ficha.</x:v>
      </x:c>
    </x:row>
    <x:row r="10" ht="22" customHeight="1">
      <x:c r="A10" s="34" t="str">
        <x:v>municipios_tioc</x:v>
      </x:c>
      <x:c r="B10" s="34" t="str">
        <x:v>Municipio(s)/TIOC</x:v>
      </x:c>
      <x:c r="C10" s="34" t="str">
        <x:v>Identificador o texto descriptivo extraído/asociado a la ficha.</x:v>
      </x:c>
    </x:row>
    <x:row r="11" ht="22" customHeight="1">
      <x:c r="A11" s="34" t="str">
        <x:v>edad_total_total</x:v>
      </x:c>
      <x:c r="B11" s="34" t="str">
        <x:v>Edad Total Total</x:v>
      </x:c>
      <x:c r="C11" s="34" t="str">
        <x:v>Conteo de personas, viviendas u hogares según la variable de la ficha INE.</x:v>
      </x:c>
    </x:row>
    <x:row r="12" ht="22" customHeight="1">
      <x:c r="A12" s="34" t="str">
        <x:v>edad_total_hombres</x:v>
      </x:c>
      <x:c r="B12" s="34" t="str">
        <x:v>Edad Total Hombres</x:v>
      </x:c>
      <x:c r="C12" s="34" t="str">
        <x:v>Número de hombres para la categoría indicada.</x:v>
      </x:c>
    </x:row>
    <x:row r="13" ht="22" customHeight="1">
      <x:c r="A13" s="34" t="str">
        <x:v>edad_total_mujeres</x:v>
      </x:c>
      <x:c r="B13" s="34" t="str">
        <x:v>Edad Total Mujeres</x:v>
      </x:c>
      <x:c r="C13" s="34" t="str">
        <x:v>Número de mujeres para la categoría indicada.</x:v>
      </x:c>
    </x:row>
    <x:row r="14" ht="22" customHeight="1">
      <x:c r="A14" s="34" t="str">
        <x:v>edad_0_19_total</x:v>
      </x:c>
      <x:c r="B14" s="34" t="str">
        <x:v>Edad 0 19 Total</x:v>
      </x:c>
      <x:c r="C14" s="34" t="str">
        <x:v>Conteo de personas, viviendas u hogares según la variable de la ficha INE.</x:v>
      </x:c>
    </x:row>
    <x:row r="15" ht="22" customHeight="1">
      <x:c r="A15" s="34" t="str">
        <x:v>edad_0_19_hombres</x:v>
      </x:c>
      <x:c r="B15" s="34" t="str">
        <x:v>Edad 0 19 Hombres</x:v>
      </x:c>
      <x:c r="C15" s="34" t="str">
        <x:v>Número de hombres para la categoría indicada.</x:v>
      </x:c>
    </x:row>
    <x:row r="16" ht="22" customHeight="1">
      <x:c r="A16" s="34" t="str">
        <x:v>edad_0_19_mujeres</x:v>
      </x:c>
      <x:c r="B16" s="34" t="str">
        <x:v>Edad 0 19 Mujeres</x:v>
      </x:c>
      <x:c r="C16" s="34" t="str">
        <x:v>Número de mujeres para la categoría indicada.</x:v>
      </x:c>
    </x:row>
    <x:row r="17" ht="22" customHeight="1">
      <x:c r="A17" s="34" t="str">
        <x:v>edad_20_39_total</x:v>
      </x:c>
      <x:c r="B17" s="34" t="str">
        <x:v>Edad 20 39 Total</x:v>
      </x:c>
      <x:c r="C17" s="34" t="str">
        <x:v>Conteo de personas, viviendas u hogares según la variable de la ficha INE.</x:v>
      </x:c>
    </x:row>
    <x:row r="18" ht="22" customHeight="1">
      <x:c r="A18" s="34" t="str">
        <x:v>edad_20_39_hombres</x:v>
      </x:c>
      <x:c r="B18" s="34" t="str">
        <x:v>Edad 20 39 Hombres</x:v>
      </x:c>
      <x:c r="C18" s="34" t="str">
        <x:v>Número de hombres para la categoría indicada.</x:v>
      </x:c>
    </x:row>
    <x:row r="19" ht="22" customHeight="1">
      <x:c r="A19" s="34" t="str">
        <x:v>edad_20_39_mujeres</x:v>
      </x:c>
      <x:c r="B19" s="34" t="str">
        <x:v>Edad 20 39 Mujeres</x:v>
      </x:c>
      <x:c r="C19" s="34" t="str">
        <x:v>Número de mujeres para la categoría indicada.</x:v>
      </x:c>
    </x:row>
    <x:row r="20" ht="22" customHeight="1">
      <x:c r="A20" s="34" t="str">
        <x:v>edad_40_59_total</x:v>
      </x:c>
      <x:c r="B20" s="34" t="str">
        <x:v>Edad 40 59 Total</x:v>
      </x:c>
      <x:c r="C20" s="34" t="str">
        <x:v>Conteo de personas, viviendas u hogares según la variable de la ficha INE.</x:v>
      </x:c>
    </x:row>
    <x:row r="21" ht="22" customHeight="1">
      <x:c r="A21" s="34" t="str">
        <x:v>edad_40_59_hombres</x:v>
      </x:c>
      <x:c r="B21" s="34" t="str">
        <x:v>Edad 40 59 Hombres</x:v>
      </x:c>
      <x:c r="C21" s="34" t="str">
        <x:v>Número de hombres para la categoría indicada.</x:v>
      </x:c>
    </x:row>
    <x:row r="22" ht="22" customHeight="1">
      <x:c r="A22" s="34" t="str">
        <x:v>edad_40_59_mujeres</x:v>
      </x:c>
      <x:c r="B22" s="34" t="str">
        <x:v>Edad 40 59 Mujeres</x:v>
      </x:c>
      <x:c r="C22" s="34" t="str">
        <x:v>Número de mujeres para la categoría indicada.</x:v>
      </x:c>
    </x:row>
    <x:row r="23" ht="22" customHeight="1">
      <x:c r="A23" s="34" t="str">
        <x:v>edad_60_mas_total</x:v>
      </x:c>
      <x:c r="B23" s="34" t="str">
        <x:v>Edad 60 más Total</x:v>
      </x:c>
      <x:c r="C23" s="34" t="str">
        <x:v>Conteo de personas, viviendas u hogares según la variable de la ficha INE.</x:v>
      </x:c>
    </x:row>
    <x:row r="24" ht="22" customHeight="1">
      <x:c r="A24" s="34" t="str">
        <x:v>edad_60_mas_hombres</x:v>
      </x:c>
      <x:c r="B24" s="34" t="str">
        <x:v>Edad 60 más Hombres</x:v>
      </x:c>
      <x:c r="C24" s="34" t="str">
        <x:v>Número de hombres para la categoría indicada.</x:v>
      </x:c>
    </x:row>
    <x:row r="25" ht="22" customHeight="1">
      <x:c r="A25" s="34" t="str">
        <x:v>edad_60_mas_mujeres</x:v>
      </x:c>
      <x:c r="B25" s="34" t="str">
        <x:v>Edad 60 más Mujeres</x:v>
      </x:c>
      <x:c r="C25" s="34" t="str">
        <x:v>Número de mujeres para la categoría indicada.</x:v>
      </x:c>
    </x:row>
    <x:row r="26" ht="22" customHeight="1">
      <x:c r="A26" s="34" t="str">
        <x:v>nacimiento_total_total</x:v>
      </x:c>
      <x:c r="B26" s="34" t="str">
        <x:v>Nacimiento Total Total</x:v>
      </x:c>
      <x:c r="C26" s="34" t="str">
        <x:v>Conteo de personas, viviendas u hogares según la variable de la ficha INE.</x:v>
      </x:c>
    </x:row>
    <x:row r="27" ht="22" customHeight="1">
      <x:c r="A27" s="34" t="str">
        <x:v>nacimiento_total_hombres</x:v>
      </x:c>
      <x:c r="B27" s="34" t="str">
        <x:v>Nacimiento Total Hombres</x:v>
      </x:c>
      <x:c r="C27" s="34" t="str">
        <x:v>Número de hombres para la categoría indicada.</x:v>
      </x:c>
    </x:row>
    <x:row r="28" ht="22" customHeight="1">
      <x:c r="A28" s="34" t="str">
        <x:v>nacimiento_total_mujeres</x:v>
      </x:c>
      <x:c r="B28" s="34" t="str">
        <x:v>Nacimiento Total Mujeres</x:v>
      </x:c>
      <x:c r="C28" s="34" t="str">
        <x:v>Número de mujeres para la categoría indicada.</x:v>
      </x:c>
    </x:row>
    <x:row r="29" ht="22" customHeight="1">
      <x:c r="A29" s="34" t="str">
        <x:v>nacimiento_aqui_total</x:v>
      </x:c>
      <x:c r="B29" s="34" t="str">
        <x:v>Nacimiento aquí Total</x:v>
      </x:c>
      <x:c r="C29" s="34" t="str">
        <x:v>Conteo de personas, viviendas u hogares según la variable de la ficha INE.</x:v>
      </x:c>
    </x:row>
    <x:row r="30" ht="22" customHeight="1">
      <x:c r="A30" s="34" t="str">
        <x:v>nacimiento_aqui_hombres</x:v>
      </x:c>
      <x:c r="B30" s="34" t="str">
        <x:v>Nacimiento aquí Hombres</x:v>
      </x:c>
      <x:c r="C30" s="34" t="str">
        <x:v>Número de hombres para la categoría indicada.</x:v>
      </x:c>
    </x:row>
    <x:row r="31" ht="22" customHeight="1">
      <x:c r="A31" s="34" t="str">
        <x:v>nacimiento_aqui_mujeres</x:v>
      </x:c>
      <x:c r="B31" s="34" t="str">
        <x:v>Nacimiento aquí Mujeres</x:v>
      </x:c>
      <x:c r="C31" s="34" t="str">
        <x:v>Número de mujeres para la categoría indicada.</x:v>
      </x:c>
    </x:row>
    <x:row r="32" ht="22" customHeight="1">
      <x:c r="A32" s="34" t="str">
        <x:v>nacimiento_otro_municipio_total</x:v>
      </x:c>
      <x:c r="B32" s="34" t="str">
        <x:v>Nacimiento Otro Municipio Total</x:v>
      </x:c>
      <x:c r="C32" s="34" t="str">
        <x:v>Conteo de personas, viviendas u hogares según la variable de la ficha INE.</x:v>
      </x:c>
    </x:row>
    <x:row r="33" ht="22" customHeight="1">
      <x:c r="A33" s="34" t="str">
        <x:v>nacimiento_otro_municipio_hombres</x:v>
      </x:c>
      <x:c r="B33" s="34" t="str">
        <x:v>Nacimiento Otro Municipio Hombres</x:v>
      </x:c>
      <x:c r="C33" s="34" t="str">
        <x:v>Número de hombres para la categoría indicada.</x:v>
      </x:c>
    </x:row>
    <x:row r="34" ht="22" customHeight="1">
      <x:c r="A34" s="34" t="str">
        <x:v>nacimiento_otro_municipio_mujeres</x:v>
      </x:c>
      <x:c r="B34" s="34" t="str">
        <x:v>Nacimiento Otro Municipio Mujeres</x:v>
      </x:c>
      <x:c r="C34" s="34" t="str">
        <x:v>Número de mujeres para la categoría indicada.</x:v>
      </x:c>
    </x:row>
    <x:row r="35" ht="22" customHeight="1">
      <x:c r="A35" s="34" t="str">
        <x:v>nacimiento_otro_pais_total</x:v>
      </x:c>
      <x:c r="B35" s="34" t="str">
        <x:v>Nacimiento otro país Total</x:v>
      </x:c>
      <x:c r="C35" s="34" t="str">
        <x:v>Conteo de personas, viviendas u hogares según la variable de la ficha INE.</x:v>
      </x:c>
    </x:row>
    <x:row r="36" ht="22" customHeight="1">
      <x:c r="A36" s="34" t="str">
        <x:v>nacimiento_otro_pais_hombres</x:v>
      </x:c>
      <x:c r="B36" s="34" t="str">
        <x:v>Nacimiento otro país Hombres</x:v>
      </x:c>
      <x:c r="C36" s="34" t="str">
        <x:v>Número de hombres para la categoría indicada.</x:v>
      </x:c>
    </x:row>
    <x:row r="37" ht="22" customHeight="1">
      <x:c r="A37" s="34" t="str">
        <x:v>nacimiento_otro_pais_mujeres</x:v>
      </x:c>
      <x:c r="B37" s="34" t="str">
        <x:v>Nacimiento otro país Mujeres</x:v>
      </x:c>
      <x:c r="C37" s="34" t="str">
        <x:v>Número de mujeres para la categoría indicada.</x:v>
      </x:c>
    </x:row>
    <x:row r="38" ht="22" customHeight="1">
      <x:c r="A38" s="34" t="str">
        <x:v>nacimiento_sin_especificar_total</x:v>
      </x:c>
      <x:c r="B38" s="34" t="str">
        <x:v>Nacimiento Sin Especificar Total</x:v>
      </x:c>
      <x:c r="C38" s="34" t="str">
        <x:v>Conteo de personas, viviendas u hogares según la variable de la ficha INE.</x:v>
      </x:c>
    </x:row>
    <x:row r="39" ht="22" customHeight="1">
      <x:c r="A39" s="34" t="str">
        <x:v>nacimiento_sin_especificar_hombres</x:v>
      </x:c>
      <x:c r="B39" s="34" t="str">
        <x:v>Nacimiento Sin Especificar Hombres</x:v>
      </x:c>
      <x:c r="C39" s="34" t="str">
        <x:v>Número de hombres para la categoría indicada.</x:v>
      </x:c>
    </x:row>
    <x:row r="40" ht="22" customHeight="1">
      <x:c r="A40" s="34" t="str">
        <x:v>nacimiento_sin_especificar_mujeres</x:v>
      </x:c>
      <x:c r="B40" s="34" t="str">
        <x:v>Nacimiento Sin Especificar Mujeres</x:v>
      </x:c>
      <x:c r="C40" s="34" t="str">
        <x:v>Número de mujeres para la categoría indicada.</x:v>
      </x:c>
    </x:row>
    <x:row r="41" ht="22" customHeight="1">
      <x:c r="A41" s="34" t="str">
        <x:v>residencia_total_total</x:v>
      </x:c>
      <x:c r="B41" s="34" t="str">
        <x:v>Residencia Total Total</x:v>
      </x:c>
      <x:c r="C41" s="34" t="str">
        <x:v>Conteo de personas, viviendas u hogares según la variable de la ficha INE.</x:v>
      </x:c>
    </x:row>
    <x:row r="42" ht="22" customHeight="1">
      <x:c r="A42" s="34" t="str">
        <x:v>residencia_total_hombres</x:v>
      </x:c>
      <x:c r="B42" s="34" t="str">
        <x:v>Residencia Total Hombres</x:v>
      </x:c>
      <x:c r="C42" s="34" t="str">
        <x:v>Número de hombres para la categoría indicada.</x:v>
      </x:c>
    </x:row>
    <x:row r="43" ht="22" customHeight="1">
      <x:c r="A43" s="34" t="str">
        <x:v>residencia_total_mujeres</x:v>
      </x:c>
      <x:c r="B43" s="34" t="str">
        <x:v>Residencia Total Mujeres</x:v>
      </x:c>
      <x:c r="C43" s="34" t="str">
        <x:v>Número de mujeres para la categoría indicada.</x:v>
      </x:c>
    </x:row>
    <x:row r="44" ht="22" customHeight="1">
      <x:c r="A44" s="34" t="str">
        <x:v>residencia_aqui_total</x:v>
      </x:c>
      <x:c r="B44" s="34" t="str">
        <x:v>Residencia aquí Total</x:v>
      </x:c>
      <x:c r="C44" s="34" t="str">
        <x:v>Conteo de personas, viviendas u hogares según la variable de la ficha INE.</x:v>
      </x:c>
    </x:row>
    <x:row r="45" ht="22" customHeight="1">
      <x:c r="A45" s="34" t="str">
        <x:v>residencia_aqui_hombres</x:v>
      </x:c>
      <x:c r="B45" s="34" t="str">
        <x:v>Residencia aquí Hombres</x:v>
      </x:c>
      <x:c r="C45" s="34" t="str">
        <x:v>Número de hombres para la categoría indicada.</x:v>
      </x:c>
    </x:row>
    <x:row r="46" ht="22" customHeight="1">
      <x:c r="A46" s="34" t="str">
        <x:v>residencia_aqui_mujeres</x:v>
      </x:c>
      <x:c r="B46" s="34" t="str">
        <x:v>Residencia aquí Mujeres</x:v>
      </x:c>
      <x:c r="C46" s="34" t="str">
        <x:v>Número de mujeres para la categoría indicada.</x:v>
      </x:c>
    </x:row>
    <x:row r="47" ht="22" customHeight="1">
      <x:c r="A47" s="34" t="str">
        <x:v>residencia_otro_municipio_total</x:v>
      </x:c>
      <x:c r="B47" s="34" t="str">
        <x:v>Residencia Otro Municipio Total</x:v>
      </x:c>
      <x:c r="C47" s="34" t="str">
        <x:v>Conteo de personas, viviendas u hogares según la variable de la ficha INE.</x:v>
      </x:c>
    </x:row>
    <x:row r="48" ht="22" customHeight="1">
      <x:c r="A48" s="34" t="str">
        <x:v>residencia_otro_municipio_hombres</x:v>
      </x:c>
      <x:c r="B48" s="34" t="str">
        <x:v>Residencia Otro Municipio Hombres</x:v>
      </x:c>
      <x:c r="C48" s="34" t="str">
        <x:v>Número de hombres para la categoría indicada.</x:v>
      </x:c>
    </x:row>
    <x:row r="49" ht="22" customHeight="1">
      <x:c r="A49" s="34" t="str">
        <x:v>residencia_otro_municipio_mujeres</x:v>
      </x:c>
      <x:c r="B49" s="34" t="str">
        <x:v>Residencia Otro Municipio Mujeres</x:v>
      </x:c>
      <x:c r="C49" s="34" t="str">
        <x:v>Número de mujeres para la categoría indicada.</x:v>
      </x:c>
    </x:row>
    <x:row r="50" ht="22" customHeight="1">
      <x:c r="A50" s="34" t="str">
        <x:v>residencia_otro_pais_total</x:v>
      </x:c>
      <x:c r="B50" s="34" t="str">
        <x:v>Residencia otro país Total</x:v>
      </x:c>
      <x:c r="C50" s="34" t="str">
        <x:v>Conteo de personas, viviendas u hogares según la variable de la ficha INE.</x:v>
      </x:c>
    </x:row>
    <x:row r="51" ht="22" customHeight="1">
      <x:c r="A51" s="34" t="str">
        <x:v>residencia_otro_pais_hombres</x:v>
      </x:c>
      <x:c r="B51" s="34" t="str">
        <x:v>Residencia otro país Hombres</x:v>
      </x:c>
      <x:c r="C51" s="34" t="str">
        <x:v>Número de hombres para la categoría indicada.</x:v>
      </x:c>
    </x:row>
    <x:row r="52" ht="22" customHeight="1">
      <x:c r="A52" s="34" t="str">
        <x:v>residencia_otro_pais_mujeres</x:v>
      </x:c>
      <x:c r="B52" s="34" t="str">
        <x:v>Residencia otro país Mujeres</x:v>
      </x:c>
      <x:c r="C52" s="34" t="str">
        <x:v>Número de mujeres para la categoría indicada.</x:v>
      </x:c>
    </x:row>
    <x:row r="53" ht="22" customHeight="1">
      <x:c r="A53" s="34" t="str">
        <x:v>residencia_sin_especificar_total</x:v>
      </x:c>
      <x:c r="B53" s="34" t="str">
        <x:v>Residencia Sin Especificar Total</x:v>
      </x:c>
      <x:c r="C53" s="34" t="str">
        <x:v>Conteo de personas, viviendas u hogares según la variable de la ficha INE.</x:v>
      </x:c>
    </x:row>
    <x:row r="54" ht="22" customHeight="1">
      <x:c r="A54" s="34" t="str">
        <x:v>residencia_sin_especificar_hombres</x:v>
      </x:c>
      <x:c r="B54" s="34" t="str">
        <x:v>Residencia Sin Especificar Hombres</x:v>
      </x:c>
      <x:c r="C54" s="34" t="str">
        <x:v>Número de hombres para la categoría indicada.</x:v>
      </x:c>
    </x:row>
    <x:row r="55" ht="22" customHeight="1">
      <x:c r="A55" s="34" t="str">
        <x:v>residencia_sin_especificar_mujeres</x:v>
      </x:c>
      <x:c r="B55" s="34" t="str">
        <x:v>Residencia Sin Especificar Mujeres</x:v>
      </x:c>
      <x:c r="C55" s="34" t="str">
        <x:v>Número de mujeres para la categoría indicada.</x:v>
      </x:c>
    </x:row>
    <x:row r="56" ht="22" customHeight="1">
      <x:c r="A56" s="34" t="str">
        <x:v>educacion_total_19_mas_total</x:v>
      </x:c>
      <x:c r="B56" s="34" t="str">
        <x:v>Educación Total 19 más Total</x:v>
      </x:c>
      <x:c r="C56" s="34" t="str">
        <x:v>Conteo de personas, viviendas u hogares según la variable de la ficha INE.</x:v>
      </x:c>
    </x:row>
    <x:row r="57" ht="22" customHeight="1">
      <x:c r="A57" s="34" t="str">
        <x:v>educacion_total_19_mas_hombres</x:v>
      </x:c>
      <x:c r="B57" s="34" t="str">
        <x:v>Educación Total 19 más Hombres</x:v>
      </x:c>
      <x:c r="C57" s="34" t="str">
        <x:v>Número de hombres para la categoría indicada.</x:v>
      </x:c>
    </x:row>
    <x:row r="58" ht="22" customHeight="1">
      <x:c r="A58" s="34" t="str">
        <x:v>educacion_total_19_mas_mujeres</x:v>
      </x:c>
      <x:c r="B58" s="34" t="str">
        <x:v>Educación Total 19 más Mujeres</x:v>
      </x:c>
      <x:c r="C58" s="34" t="str">
        <x:v>Número de mujeres para la categoría indicada.</x:v>
      </x:c>
    </x:row>
    <x:row r="59" ht="22" customHeight="1">
      <x:c r="A59" s="34" t="str">
        <x:v>educacion_ninguno_total</x:v>
      </x:c>
      <x:c r="B59" s="34" t="str">
        <x:v>Educación Ninguno Total</x:v>
      </x:c>
      <x:c r="C59" s="34" t="str">
        <x:v>Conteo de personas, viviendas u hogares según la variable de la ficha INE.</x:v>
      </x:c>
    </x:row>
    <x:row r="60" ht="22" customHeight="1">
      <x:c r="A60" s="34" t="str">
        <x:v>educacion_ninguno_hombres</x:v>
      </x:c>
      <x:c r="B60" s="34" t="str">
        <x:v>Educación Ninguno Hombres</x:v>
      </x:c>
      <x:c r="C60" s="34" t="str">
        <x:v>Número de hombres para la categoría indicada.</x:v>
      </x:c>
    </x:row>
    <x:row r="61" ht="22" customHeight="1">
      <x:c r="A61" s="34" t="str">
        <x:v>educacion_ninguno_mujeres</x:v>
      </x:c>
      <x:c r="B61" s="34" t="str">
        <x:v>Educación Ninguno Mujeres</x:v>
      </x:c>
      <x:c r="C61" s="34" t="str">
        <x:v>Número de mujeres para la categoría indicada.</x:v>
      </x:c>
    </x:row>
    <x:row r="62" ht="22" customHeight="1">
      <x:c r="A62" s="34" t="str">
        <x:v>educacion_primaria_total</x:v>
      </x:c>
      <x:c r="B62" s="34" t="str">
        <x:v>Educación Primaria Total</x:v>
      </x:c>
      <x:c r="C62" s="34" t="str">
        <x:v>Conteo de personas, viviendas u hogares según la variable de la ficha INE.</x:v>
      </x:c>
    </x:row>
    <x:row r="63" ht="22" customHeight="1">
      <x:c r="A63" s="34" t="str">
        <x:v>educacion_primaria_hombres</x:v>
      </x:c>
      <x:c r="B63" s="34" t="str">
        <x:v>Educación Primaria Hombres</x:v>
      </x:c>
      <x:c r="C63" s="34" t="str">
        <x:v>Número de hombres para la categoría indicada.</x:v>
      </x:c>
    </x:row>
    <x:row r="64" ht="22" customHeight="1">
      <x:c r="A64" s="34" t="str">
        <x:v>educacion_primaria_mujeres</x:v>
      </x:c>
      <x:c r="B64" s="34" t="str">
        <x:v>Educación Primaria Mujeres</x:v>
      </x:c>
      <x:c r="C64" s="34" t="str">
        <x:v>Número de mujeres para la categoría indicada.</x:v>
      </x:c>
    </x:row>
    <x:row r="65" ht="22" customHeight="1">
      <x:c r="A65" s="34" t="str">
        <x:v>educacion_secundaria_total</x:v>
      </x:c>
      <x:c r="B65" s="34" t="str">
        <x:v>Educación Secundaria Total</x:v>
      </x:c>
      <x:c r="C65" s="34" t="str">
        <x:v>Conteo de personas, viviendas u hogares según la variable de la ficha INE.</x:v>
      </x:c>
    </x:row>
    <x:row r="66" ht="22" customHeight="1">
      <x:c r="A66" s="34" t="str">
        <x:v>educacion_secundaria_hombres</x:v>
      </x:c>
      <x:c r="B66" s="34" t="str">
        <x:v>Educación Secundaria Hombres</x:v>
      </x:c>
      <x:c r="C66" s="34" t="str">
        <x:v>Número de hombres para la categoría indicada.</x:v>
      </x:c>
    </x:row>
    <x:row r="67" ht="22" customHeight="1">
      <x:c r="A67" s="34" t="str">
        <x:v>educacion_secundaria_mujeres</x:v>
      </x:c>
      <x:c r="B67" s="34" t="str">
        <x:v>Educación Secundaria Mujeres</x:v>
      </x:c>
      <x:c r="C67" s="34" t="str">
        <x:v>Número de mujeres para la categoría indicada.</x:v>
      </x:c>
    </x:row>
    <x:row r="68" ht="22" customHeight="1">
      <x:c r="A68" s="34" t="str">
        <x:v>educacion_superior_total</x:v>
      </x:c>
      <x:c r="B68" s="34" t="str">
        <x:v>Educación Superior Total</x:v>
      </x:c>
      <x:c r="C68" s="34" t="str">
        <x:v>Conteo de personas, viviendas u hogares según la variable de la ficha INE.</x:v>
      </x:c>
    </x:row>
    <x:row r="69" ht="22" customHeight="1">
      <x:c r="A69" s="34" t="str">
        <x:v>educacion_superior_hombres</x:v>
      </x:c>
      <x:c r="B69" s="34" t="str">
        <x:v>Educación Superior Hombres</x:v>
      </x:c>
      <x:c r="C69" s="34" t="str">
        <x:v>Número de hombres para la categoría indicada.</x:v>
      </x:c>
    </x:row>
    <x:row r="70" ht="22" customHeight="1">
      <x:c r="A70" s="34" t="str">
        <x:v>educacion_superior_mujeres</x:v>
      </x:c>
      <x:c r="B70" s="34" t="str">
        <x:v>Educación Superior Mujeres</x:v>
      </x:c>
      <x:c r="C70" s="34" t="str">
        <x:v>Número de mujeres para la categoría indicada.</x:v>
      </x:c>
    </x:row>
    <x:row r="71" ht="22" customHeight="1">
      <x:c r="A71" s="34" t="str">
        <x:v>educacion_sin_especificar_total</x:v>
      </x:c>
      <x:c r="B71" s="34" t="str">
        <x:v>Educación Sin Especificar Total</x:v>
      </x:c>
      <x:c r="C71" s="34" t="str">
        <x:v>Conteo de personas, viviendas u hogares según la variable de la ficha INE.</x:v>
      </x:c>
    </x:row>
    <x:row r="72" ht="22" customHeight="1">
      <x:c r="A72" s="34" t="str">
        <x:v>educacion_sin_especificar_hombres</x:v>
      </x:c>
      <x:c r="B72" s="34" t="str">
        <x:v>Educación Sin Especificar Hombres</x:v>
      </x:c>
      <x:c r="C72" s="34" t="str">
        <x:v>Número de hombres para la categoría indicada.</x:v>
      </x:c>
    </x:row>
    <x:row r="73" ht="22" customHeight="1">
      <x:c r="A73" s="34" t="str">
        <x:v>educacion_sin_especificar_mujeres</x:v>
      </x:c>
      <x:c r="B73" s="34" t="str">
        <x:v>Educación Sin Especificar Mujeres</x:v>
      </x:c>
      <x:c r="C73" s="34" t="str">
        <x:v>Número de mujeres para la categoría indicada.</x:v>
      </x:c>
    </x:row>
    <x:row r="74" ht="22" customHeight="1">
      <x:c r="A74" s="34" t="str">
        <x:v>ocupacion_total_14_mas_total</x:v>
      </x:c>
      <x:c r="B74" s="34" t="str">
        <x:v>Ocupación Total 14 más Total</x:v>
      </x:c>
      <x:c r="C74" s="34" t="str">
        <x:v>Conteo de personas, viviendas u hogares según la variable de la ficha INE.</x:v>
      </x:c>
    </x:row>
    <x:row r="75" ht="22" customHeight="1">
      <x:c r="A75" s="34" t="str">
        <x:v>ocupacion_total_14_mas_hombres</x:v>
      </x:c>
      <x:c r="B75" s="34" t="str">
        <x:v>Ocupación Total 14 más Hombres</x:v>
      </x:c>
      <x:c r="C75" s="34" t="str">
        <x:v>Número de hombres para la categoría indicada.</x:v>
      </x:c>
    </x:row>
    <x:row r="76" ht="22" customHeight="1">
      <x:c r="A76" s="34" t="str">
        <x:v>ocupacion_total_14_mas_mujeres</x:v>
      </x:c>
      <x:c r="B76" s="34" t="str">
        <x:v>Ocupación Total 14 más Mujeres</x:v>
      </x:c>
      <x:c r="C76" s="34" t="str">
        <x:v>Número de mujeres para la categoría indicada.</x:v>
      </x:c>
    </x:row>
    <x:row r="77" ht="22" customHeight="1">
      <x:c r="A77" s="34" t="str">
        <x:v>ocupacion_empleado_obrero_total</x:v>
      </x:c>
      <x:c r="B77" s="34" t="str">
        <x:v>Ocupación Empleado Obrero Total</x:v>
      </x:c>
      <x:c r="C77" s="34" t="str">
        <x:v>Conteo de personas, viviendas u hogares según la variable de la ficha INE.</x:v>
      </x:c>
    </x:row>
    <x:row r="78" ht="22" customHeight="1">
      <x:c r="A78" s="34" t="str">
        <x:v>ocupacion_empleado_obrero_hombres</x:v>
      </x:c>
      <x:c r="B78" s="34" t="str">
        <x:v>Ocupación Empleado Obrero Hombres</x:v>
      </x:c>
      <x:c r="C78" s="34" t="str">
        <x:v>Número de hombres para la categoría indicada.</x:v>
      </x:c>
    </x:row>
    <x:row r="79" ht="22" customHeight="1">
      <x:c r="A79" s="34" t="str">
        <x:v>ocupacion_empleado_obrero_mujeres</x:v>
      </x:c>
      <x:c r="B79" s="34" t="str">
        <x:v>Ocupación Empleado Obrero Mujeres</x:v>
      </x:c>
      <x:c r="C79" s="34" t="str">
        <x:v>Número de mujeres para la categoría indicada.</x:v>
      </x:c>
    </x:row>
    <x:row r="80" ht="22" customHeight="1">
      <x:c r="A80" s="34" t="str">
        <x:v>ocupacion_cuenta_propia_total</x:v>
      </x:c>
      <x:c r="B80" s="34" t="str">
        <x:v>Ocupación Cuenta Propia Total</x:v>
      </x:c>
      <x:c r="C80" s="34" t="str">
        <x:v>Conteo de personas, viviendas u hogares según la variable de la ficha INE.</x:v>
      </x:c>
    </x:row>
    <x:row r="81" ht="22" customHeight="1">
      <x:c r="A81" s="34" t="str">
        <x:v>ocupacion_cuenta_propia_hombres</x:v>
      </x:c>
      <x:c r="B81" s="34" t="str">
        <x:v>Ocupación Cuenta Propia Hombres</x:v>
      </x:c>
      <x:c r="C81" s="34" t="str">
        <x:v>Número de hombres para la categoría indicada.</x:v>
      </x:c>
    </x:row>
    <x:row r="82" ht="22" customHeight="1">
      <x:c r="A82" s="34" t="str">
        <x:v>ocupacion_cuenta_propia_mujeres</x:v>
      </x:c>
      <x:c r="B82" s="34" t="str">
        <x:v>Ocupación Cuenta Propia Mujeres</x:v>
      </x:c>
      <x:c r="C82" s="34" t="str">
        <x:v>Número de mujeres para la categoría indicada.</x:v>
      </x:c>
    </x:row>
    <x:row r="83" ht="22" customHeight="1">
      <x:c r="A83" s="34" t="str">
        <x:v>ocupacion_otros_total</x:v>
      </x:c>
      <x:c r="B83" s="34" t="str">
        <x:v>Ocupación Otros Total</x:v>
      </x:c>
      <x:c r="C83" s="34" t="str">
        <x:v>Conteo de personas, viviendas u hogares según la variable de la ficha INE.</x:v>
      </x:c>
    </x:row>
    <x:row r="84" ht="22" customHeight="1">
      <x:c r="A84" s="34" t="str">
        <x:v>ocupacion_otros_hombres</x:v>
      </x:c>
      <x:c r="B84" s="34" t="str">
        <x:v>Ocupación Otros Hombres</x:v>
      </x:c>
      <x:c r="C84" s="34" t="str">
        <x:v>Número de hombres para la categoría indicada.</x:v>
      </x:c>
    </x:row>
    <x:row r="85" ht="22" customHeight="1">
      <x:c r="A85" s="34" t="str">
        <x:v>ocupacion_otros_mujeres</x:v>
      </x:c>
      <x:c r="B85" s="34" t="str">
        <x:v>Ocupación Otros Mujeres</x:v>
      </x:c>
      <x:c r="C85" s="34" t="str">
        <x:v>Número de mujeres para la categoría indicada.</x:v>
      </x:c>
    </x:row>
    <x:row r="86" ht="22" customHeight="1">
      <x:c r="A86" s="34" t="str">
        <x:v>ocupacion_sin_especificar_total</x:v>
      </x:c>
      <x:c r="B86" s="34" t="str">
        <x:v>Ocupación Sin Especificar Total</x:v>
      </x:c>
      <x:c r="C86" s="34" t="str">
        <x:v>Conteo de personas, viviendas u hogares según la variable de la ficha INE.</x:v>
      </x:c>
    </x:row>
    <x:row r="87" ht="22" customHeight="1">
      <x:c r="A87" s="34" t="str">
        <x:v>ocupacion_sin_especificar_hombres</x:v>
      </x:c>
      <x:c r="B87" s="34" t="str">
        <x:v>Ocupación Sin Especificar Hombres</x:v>
      </x:c>
      <x:c r="C87" s="34" t="str">
        <x:v>Número de hombres para la categoría indicada.</x:v>
      </x:c>
    </x:row>
    <x:row r="88" ht="22" customHeight="1">
      <x:c r="A88" s="34" t="str">
        <x:v>ocupacion_sin_especificar_mujeres</x:v>
      </x:c>
      <x:c r="B88" s="34" t="str">
        <x:v>Ocupación Sin Especificar Mujeres</x:v>
      </x:c>
      <x:c r="C88" s="34" t="str">
        <x:v>Número de mujeres para la categoría indicada.</x:v>
      </x:c>
    </x:row>
    <x:row r="89" ht="22" customHeight="1">
      <x:c r="A89" s="34" t="str">
        <x:v>salud_acude_total_total</x:v>
      </x:c>
      <x:c r="B89" s="34" t="str">
        <x:v>Salud Acude Total Total</x:v>
      </x:c>
      <x:c r="C89" s="34" t="str">
        <x:v>Conteo de personas, viviendas u hogares según la variable de la ficha INE.</x:v>
      </x:c>
    </x:row>
    <x:row r="90" ht="22" customHeight="1">
      <x:c r="A90" s="34" t="str">
        <x:v>salud_acude_total_hombres</x:v>
      </x:c>
      <x:c r="B90" s="34" t="str">
        <x:v>Salud Acude Total Hombres</x:v>
      </x:c>
      <x:c r="C90" s="34" t="str">
        <x:v>Número de hombres para la categoría indicada.</x:v>
      </x:c>
    </x:row>
    <x:row r="91" ht="22" customHeight="1">
      <x:c r="A91" s="34" t="str">
        <x:v>salud_acude_total_mujeres</x:v>
      </x:c>
      <x:c r="B91" s="34" t="str">
        <x:v>Salud Acude Total Mujeres</x:v>
      </x:c>
      <x:c r="C91" s="34" t="str">
        <x:v>Número de mujeres para la categoría indicada.</x:v>
      </x:c>
    </x:row>
    <x:row r="92" ht="22" customHeight="1">
      <x:c r="A92" s="34" t="str">
        <x:v>salud_acude_publico_total</x:v>
      </x:c>
      <x:c r="B92" s="34" t="str">
        <x:v>Salud Acude Publico Total</x:v>
      </x:c>
      <x:c r="C92" s="34" t="str">
        <x:v>Conteo de personas, viviendas u hogares según la variable de la ficha INE.</x:v>
      </x:c>
    </x:row>
    <x:row r="93" ht="22" customHeight="1">
      <x:c r="A93" s="34" t="str">
        <x:v>salud_acude_publico_hombres</x:v>
      </x:c>
      <x:c r="B93" s="34" t="str">
        <x:v>Salud Acude Publico Hombres</x:v>
      </x:c>
      <x:c r="C93" s="34" t="str">
        <x:v>Número de hombres para la categoría indicada.</x:v>
      </x:c>
    </x:row>
    <x:row r="94" ht="22" customHeight="1">
      <x:c r="A94" s="34" t="str">
        <x:v>salud_acude_publico_mujeres</x:v>
      </x:c>
      <x:c r="B94" s="34" t="str">
        <x:v>Salud Acude Publico Mujeres</x:v>
      </x:c>
      <x:c r="C94" s="34" t="str">
        <x:v>Número de mujeres para la categoría indicada.</x:v>
      </x:c>
    </x:row>
    <x:row r="95" ht="22" customHeight="1">
      <x:c r="A95" s="34" t="str">
        <x:v>salud_acude_caja_salud_total</x:v>
      </x:c>
      <x:c r="B95" s="34" t="str">
        <x:v>Salud Acude Caja Salud Total</x:v>
      </x:c>
      <x:c r="C95" s="34" t="str">
        <x:v>Conteo de personas, viviendas u hogares según la variable de la ficha INE.</x:v>
      </x:c>
    </x:row>
    <x:row r="96" ht="22" customHeight="1">
      <x:c r="A96" s="34" t="str">
        <x:v>salud_acude_caja_salud_hombres</x:v>
      </x:c>
      <x:c r="B96" s="34" t="str">
        <x:v>Salud Acude Caja Salud Hombres</x:v>
      </x:c>
      <x:c r="C96" s="34" t="str">
        <x:v>Número de hombres para la categoría indicada.</x:v>
      </x:c>
    </x:row>
    <x:row r="97" ht="22" customHeight="1">
      <x:c r="A97" s="34" t="str">
        <x:v>salud_acude_caja_salud_mujeres</x:v>
      </x:c>
      <x:c r="B97" s="34" t="str">
        <x:v>Salud Acude Caja Salud Mujeres</x:v>
      </x:c>
      <x:c r="C97" s="34" t="str">
        <x:v>Número de mujeres para la categoría indicada.</x:v>
      </x:c>
    </x:row>
    <x:row r="98" ht="22" customHeight="1">
      <x:c r="A98" s="34" t="str">
        <x:v>salud_acude_privado_total</x:v>
      </x:c>
      <x:c r="B98" s="34" t="str">
        <x:v>Salud Acude Privado Total</x:v>
      </x:c>
      <x:c r="C98" s="34" t="str">
        <x:v>Conteo de personas, viviendas u hogares según la variable de la ficha INE.</x:v>
      </x:c>
    </x:row>
    <x:row r="99" ht="22" customHeight="1">
      <x:c r="A99" s="34" t="str">
        <x:v>salud_acude_privado_hombres</x:v>
      </x:c>
      <x:c r="B99" s="34" t="str">
        <x:v>Salud Acude Privado Hombres</x:v>
      </x:c>
      <x:c r="C99" s="34" t="str">
        <x:v>Número de hombres para la categoría indicada.</x:v>
      </x:c>
    </x:row>
    <x:row r="100" ht="22" customHeight="1">
      <x:c r="A100" s="34" t="str">
        <x:v>salud_acude_privado_mujeres</x:v>
      </x:c>
      <x:c r="B100" s="34" t="str">
        <x:v>Salud Acude Privado Mujeres</x:v>
      </x:c>
      <x:c r="C100" s="34" t="str">
        <x:v>Número de mujeres para la categoría indicada.</x:v>
      </x:c>
    </x:row>
    <x:row r="101" ht="22" customHeight="1">
      <x:c r="A101" s="34" t="str">
        <x:v>salud_acude_domicilio_total</x:v>
      </x:c>
      <x:c r="B101" s="34" t="str">
        <x:v>Salud Acude Domicilio Total</x:v>
      </x:c>
      <x:c r="C101" s="34" t="str">
        <x:v>Conteo de personas, viviendas u hogares según la variable de la ficha INE.</x:v>
      </x:c>
    </x:row>
    <x:row r="102" ht="22" customHeight="1">
      <x:c r="A102" s="34" t="str">
        <x:v>salud_acude_domicilio_hombres</x:v>
      </x:c>
      <x:c r="B102" s="34" t="str">
        <x:v>Salud Acude Domicilio Hombres</x:v>
      </x:c>
      <x:c r="C102" s="34" t="str">
        <x:v>Número de hombres para la categoría indicada.</x:v>
      </x:c>
    </x:row>
    <x:row r="103" ht="22" customHeight="1">
      <x:c r="A103" s="34" t="str">
        <x:v>salud_acude_domicilio_mujeres</x:v>
      </x:c>
      <x:c r="B103" s="34" t="str">
        <x:v>Salud Acude Domicilio Mujeres</x:v>
      </x:c>
      <x:c r="C103" s="34" t="str">
        <x:v>Número de mujeres para la categoría indicada.</x:v>
      </x:c>
    </x:row>
    <x:row r="104" ht="22" customHeight="1">
      <x:c r="A104" s="34" t="str">
        <x:v>salud_acude_medicina_tradicional_total</x:v>
      </x:c>
      <x:c r="B104" s="34" t="str">
        <x:v>Salud Acude Medicina Tradicional Total</x:v>
      </x:c>
      <x:c r="C104" s="34" t="str">
        <x:v>Conteo de personas, viviendas u hogares según la variable de la ficha INE.</x:v>
      </x:c>
    </x:row>
    <x:row r="105" ht="22" customHeight="1">
      <x:c r="A105" s="34" t="str">
        <x:v>salud_acude_medicina_tradicional_hombres</x:v>
      </x:c>
      <x:c r="B105" s="34" t="str">
        <x:v>Salud Acude Medicina Tradicional Hombres</x:v>
      </x:c>
      <x:c r="C105" s="34" t="str">
        <x:v>Número de hombres para la categoría indicada.</x:v>
      </x:c>
    </x:row>
    <x:row r="106" ht="22" customHeight="1">
      <x:c r="A106" s="34" t="str">
        <x:v>salud_acude_medicina_tradicional_mujeres</x:v>
      </x:c>
      <x:c r="B106" s="34" t="str">
        <x:v>Salud Acude Medicina Tradicional Mujeres</x:v>
      </x:c>
      <x:c r="C106" s="34" t="str">
        <x:v>Número de mujeres para la categoría indicada.</x:v>
      </x:c>
    </x:row>
    <x:row r="107" ht="22" customHeight="1">
      <x:c r="A107" s="34" t="str">
        <x:v>salud_acude_farmacia_automedicacion_total</x:v>
      </x:c>
      <x:c r="B107" s="34" t="str">
        <x:v>Salud Acude Farmacia Automedicacion Total</x:v>
      </x:c>
      <x:c r="C107" s="34" t="str">
        <x:v>Conteo de personas, viviendas u hogares según la variable de la ficha INE.</x:v>
      </x:c>
    </x:row>
    <x:row r="108" ht="22" customHeight="1">
      <x:c r="A108" s="34" t="str">
        <x:v>salud_acude_farmacia_automedicacion_hombres</x:v>
      </x:c>
      <x:c r="B108" s="34" t="str">
        <x:v>Salud Acude Farmacia Automedicacion Hombres</x:v>
      </x:c>
      <x:c r="C108" s="34" t="str">
        <x:v>Número de hombres para la categoría indicada.</x:v>
      </x:c>
    </x:row>
    <x:row r="109" ht="22" customHeight="1">
      <x:c r="A109" s="34" t="str">
        <x:v>salud_acude_farmacia_automedicacion_mujeres</x:v>
      </x:c>
      <x:c r="B109" s="34" t="str">
        <x:v>Salud Acude Farmacia Automedicacion Mujeres</x:v>
      </x:c>
      <x:c r="C109" s="34" t="str">
        <x:v>Número de mujeres para la categoría indicada.</x:v>
      </x:c>
    </x:row>
    <x:row r="110" ht="22" customHeight="1">
      <x:c r="A110" s="34" t="str">
        <x:v>salud_acude_remedios_caseros_total</x:v>
      </x:c>
      <x:c r="B110" s="34" t="str">
        <x:v>Salud Acude Remedios Caseros Total</x:v>
      </x:c>
      <x:c r="C110" s="34" t="str">
        <x:v>Conteo de personas, viviendas u hogares según la variable de la ficha INE.</x:v>
      </x:c>
    </x:row>
    <x:row r="111" ht="22" customHeight="1">
      <x:c r="A111" s="34" t="str">
        <x:v>salud_acude_remedios_caseros_hombres</x:v>
      </x:c>
      <x:c r="B111" s="34" t="str">
        <x:v>Salud Acude Remedios Caseros Hombres</x:v>
      </x:c>
      <x:c r="C111" s="34" t="str">
        <x:v>Número de hombres para la categoría indicada.</x:v>
      </x:c>
    </x:row>
    <x:row r="112" ht="22" customHeight="1">
      <x:c r="A112" s="34" t="str">
        <x:v>salud_acude_remedios_caseros_mujeres</x:v>
      </x:c>
      <x:c r="B112" s="34" t="str">
        <x:v>Salud Acude Remedios Caseros Mujeres</x:v>
      </x:c>
      <x:c r="C112" s="34" t="str">
        <x:v>Número de mujeres para la categoría indicada.</x:v>
      </x:c>
    </x:row>
    <x:row r="113" ht="22" customHeight="1">
      <x:c r="A113" s="34" t="str">
        <x:v>actividad_total_14_mas_total</x:v>
      </x:c>
      <x:c r="B113" s="34" t="str">
        <x:v>Actividad Total 14 más Total</x:v>
      </x:c>
      <x:c r="C113" s="34" t="str">
        <x:v>Conteo de personas, viviendas u hogares según la variable de la ficha INE.</x:v>
      </x:c>
    </x:row>
    <x:row r="114" ht="22" customHeight="1">
      <x:c r="A114" s="34" t="str">
        <x:v>actividad_total_14_mas_hombres</x:v>
      </x:c>
      <x:c r="B114" s="34" t="str">
        <x:v>Actividad Total 14 más Hombres</x:v>
      </x:c>
      <x:c r="C114" s="34" t="str">
        <x:v>Número de hombres para la categoría indicada.</x:v>
      </x:c>
    </x:row>
    <x:row r="115" ht="22" customHeight="1">
      <x:c r="A115" s="34" t="str">
        <x:v>actividad_total_14_mas_mujeres</x:v>
      </x:c>
      <x:c r="B115" s="34" t="str">
        <x:v>Actividad Total 14 más Mujeres</x:v>
      </x:c>
      <x:c r="C115" s="34" t="str">
        <x:v>Número de mujeres para la categoría indicada.</x:v>
      </x:c>
    </x:row>
    <x:row r="116" ht="22" customHeight="1">
      <x:c r="A116" s="34" t="str">
        <x:v>actividad_agricultura_total</x:v>
      </x:c>
      <x:c r="B116" s="34" t="str">
        <x:v>Actividad Agricultura Total</x:v>
      </x:c>
      <x:c r="C116" s="34" t="str">
        <x:v>Conteo de personas, viviendas u hogares según la variable de la ficha INE.</x:v>
      </x:c>
    </x:row>
    <x:row r="117" ht="22" customHeight="1">
      <x:c r="A117" s="34" t="str">
        <x:v>actividad_agricultura_hombres</x:v>
      </x:c>
      <x:c r="B117" s="34" t="str">
        <x:v>Actividad Agricultura Hombres</x:v>
      </x:c>
      <x:c r="C117" s="34" t="str">
        <x:v>Número de hombres para la categoría indicada.</x:v>
      </x:c>
    </x:row>
    <x:row r="118" ht="22" customHeight="1">
      <x:c r="A118" s="34" t="str">
        <x:v>actividad_agricultura_mujeres</x:v>
      </x:c>
      <x:c r="B118" s="34" t="str">
        <x:v>Actividad Agricultura Mujeres</x:v>
      </x:c>
      <x:c r="C118" s="34" t="str">
        <x:v>Número de mujeres para la categoría indicada.</x:v>
      </x:c>
    </x:row>
    <x:row r="119" ht="22" customHeight="1">
      <x:c r="A119" s="34" t="str">
        <x:v>actividad_comercio_total</x:v>
      </x:c>
      <x:c r="B119" s="34" t="str">
        <x:v>Actividad Comercio Total</x:v>
      </x:c>
      <x:c r="C119" s="34" t="str">
        <x:v>Conteo de personas, viviendas u hogares según la variable de la ficha INE.</x:v>
      </x:c>
    </x:row>
    <x:row r="120" ht="22" customHeight="1">
      <x:c r="A120" s="34" t="str">
        <x:v>actividad_comercio_hombres</x:v>
      </x:c>
      <x:c r="B120" s="34" t="str">
        <x:v>Actividad Comercio Hombres</x:v>
      </x:c>
      <x:c r="C120" s="34" t="str">
        <x:v>Número de hombres para la categoría indicada.</x:v>
      </x:c>
    </x:row>
    <x:row r="121" ht="22" customHeight="1">
      <x:c r="A121" s="34" t="str">
        <x:v>actividad_comercio_mujeres</x:v>
      </x:c>
      <x:c r="B121" s="34" t="str">
        <x:v>Actividad Comercio Mujeres</x:v>
      </x:c>
      <x:c r="C121" s="34" t="str">
        <x:v>Número de mujeres para la categoría indicada.</x:v>
      </x:c>
    </x:row>
    <x:row r="122" ht="22" customHeight="1">
      <x:c r="A122" s="34" t="str">
        <x:v>actividad_manufactura_total</x:v>
      </x:c>
      <x:c r="B122" s="34" t="str">
        <x:v>Actividad Manufactura Total</x:v>
      </x:c>
      <x:c r="C122" s="34" t="str">
        <x:v>Conteo de personas, viviendas u hogares según la variable de la ficha INE.</x:v>
      </x:c>
    </x:row>
    <x:row r="123" ht="22" customHeight="1">
      <x:c r="A123" s="34" t="str">
        <x:v>actividad_manufactura_hombres</x:v>
      </x:c>
      <x:c r="B123" s="34" t="str">
        <x:v>Actividad Manufactura Hombres</x:v>
      </x:c>
      <x:c r="C123" s="34" t="str">
        <x:v>Número de hombres para la categoría indicada.</x:v>
      </x:c>
    </x:row>
    <x:row r="124" ht="22" customHeight="1">
      <x:c r="A124" s="34" t="str">
        <x:v>actividad_manufactura_mujeres</x:v>
      </x:c>
      <x:c r="B124" s="34" t="str">
        <x:v>Actividad Manufactura Mujeres</x:v>
      </x:c>
      <x:c r="C124" s="34" t="str">
        <x:v>Número de mujeres para la categoría indicada.</x:v>
      </x:c>
    </x:row>
    <x:row r="125" ht="22" customHeight="1">
      <x:c r="A125" s="34" t="str">
        <x:v>actividad_construccion_total</x:v>
      </x:c>
      <x:c r="B125" s="34" t="str">
        <x:v>Actividad Construccion Total</x:v>
      </x:c>
      <x:c r="C125" s="34" t="str">
        <x:v>Conteo de personas, viviendas u hogares según la variable de la ficha INE.</x:v>
      </x:c>
    </x:row>
    <x:row r="126" ht="22" customHeight="1">
      <x:c r="A126" s="34" t="str">
        <x:v>actividad_construccion_hombres</x:v>
      </x:c>
      <x:c r="B126" s="34" t="str">
        <x:v>Actividad Construccion Hombres</x:v>
      </x:c>
      <x:c r="C126" s="34" t="str">
        <x:v>Número de hombres para la categoría indicada.</x:v>
      </x:c>
    </x:row>
    <x:row r="127" ht="22" customHeight="1">
      <x:c r="A127" s="34" t="str">
        <x:v>actividad_construccion_mujeres</x:v>
      </x:c>
      <x:c r="B127" s="34" t="str">
        <x:v>Actividad Construccion Mujeres</x:v>
      </x:c>
      <x:c r="C127" s="34" t="str">
        <x:v>Número de mujeres para la categoría indicada.</x:v>
      </x:c>
    </x:row>
    <x:row r="128" ht="22" customHeight="1">
      <x:c r="A128" s="34" t="str">
        <x:v>actividad_transporte_total</x:v>
      </x:c>
      <x:c r="B128" s="34" t="str">
        <x:v>Actividad Transporte Total</x:v>
      </x:c>
      <x:c r="C128" s="34" t="str">
        <x:v>Conteo de personas, viviendas u hogares según la variable de la ficha INE.</x:v>
      </x:c>
    </x:row>
    <x:row r="129" ht="22" customHeight="1">
      <x:c r="A129" s="34" t="str">
        <x:v>actividad_transporte_hombres</x:v>
      </x:c>
      <x:c r="B129" s="34" t="str">
        <x:v>Actividad Transporte Hombres</x:v>
      </x:c>
      <x:c r="C129" s="34" t="str">
        <x:v>Número de hombres para la categoría indicada.</x:v>
      </x:c>
    </x:row>
    <x:row r="130" ht="22" customHeight="1">
      <x:c r="A130" s="34" t="str">
        <x:v>actividad_transporte_mujeres</x:v>
      </x:c>
      <x:c r="B130" s="34" t="str">
        <x:v>Actividad Transporte Mujeres</x:v>
      </x:c>
      <x:c r="C130" s="34" t="str">
        <x:v>Número de mujeres para la categoría indicada.</x:v>
      </x:c>
    </x:row>
    <x:row r="131" ht="22" customHeight="1">
      <x:c r="A131" s="34" t="str">
        <x:v>actividad_alojamiento_comidas_total</x:v>
      </x:c>
      <x:c r="B131" s="34" t="str">
        <x:v>Actividad Alojamiento Comidas Total</x:v>
      </x:c>
      <x:c r="C131" s="34" t="str">
        <x:v>Conteo de personas, viviendas u hogares según la variable de la ficha INE.</x:v>
      </x:c>
    </x:row>
    <x:row r="132" ht="22" customHeight="1">
      <x:c r="A132" s="34" t="str">
        <x:v>actividad_alojamiento_comidas_hombres</x:v>
      </x:c>
      <x:c r="B132" s="34" t="str">
        <x:v>Actividad Alojamiento Comidas Hombres</x:v>
      </x:c>
      <x:c r="C132" s="34" t="str">
        <x:v>Número de hombres para la categoría indicada.</x:v>
      </x:c>
    </x:row>
    <x:row r="133" ht="22" customHeight="1">
      <x:c r="A133" s="34" t="str">
        <x:v>actividad_alojamiento_comidas_mujeres</x:v>
      </x:c>
      <x:c r="B133" s="34" t="str">
        <x:v>Actividad Alojamiento Comidas Mujeres</x:v>
      </x:c>
      <x:c r="C133" s="34" t="str">
        <x:v>Número de mujeres para la categoría indicada.</x:v>
      </x:c>
    </x:row>
    <x:row r="134" ht="22" customHeight="1">
      <x:c r="A134" s="34" t="str">
        <x:v>actividad_ensenanza_total</x:v>
      </x:c>
      <x:c r="B134" s="34" t="str">
        <x:v>Actividad Enseñanza Total</x:v>
      </x:c>
      <x:c r="C134" s="34" t="str">
        <x:v>Conteo de personas, viviendas u hogares según la variable de la ficha INE.</x:v>
      </x:c>
    </x:row>
    <x:row r="135" ht="22" customHeight="1">
      <x:c r="A135" s="34" t="str">
        <x:v>actividad_ensenanza_hombres</x:v>
      </x:c>
      <x:c r="B135" s="34" t="str">
        <x:v>Actividad Enseñanza Hombres</x:v>
      </x:c>
      <x:c r="C135" s="34" t="str">
        <x:v>Número de hombres para la categoría indicada.</x:v>
      </x:c>
    </x:row>
    <x:row r="136" ht="22" customHeight="1">
      <x:c r="A136" s="34" t="str">
        <x:v>actividad_ensenanza_mujeres</x:v>
      </x:c>
      <x:c r="B136" s="34" t="str">
        <x:v>Actividad Enseñanza Mujeres</x:v>
      </x:c>
      <x:c r="C136" s="34" t="str">
        <x:v>Número de mujeres para la categoría indicada.</x:v>
      </x:c>
    </x:row>
    <x:row r="137" ht="22" customHeight="1">
      <x:c r="A137" s="34" t="str">
        <x:v>actividad_salud_asistencia_total</x:v>
      </x:c>
      <x:c r="B137" s="34" t="str">
        <x:v>Actividad Salud Asistencia Total</x:v>
      </x:c>
      <x:c r="C137" s="34" t="str">
        <x:v>Conteo de personas, viviendas u hogares según la variable de la ficha INE.</x:v>
      </x:c>
    </x:row>
    <x:row r="138" ht="22" customHeight="1">
      <x:c r="A138" s="34" t="str">
        <x:v>actividad_salud_asistencia_hombres</x:v>
      </x:c>
      <x:c r="B138" s="34" t="str">
        <x:v>Actividad Salud Asistencia Hombres</x:v>
      </x:c>
      <x:c r="C138" s="34" t="str">
        <x:v>Número de hombres para la categoría indicada.</x:v>
      </x:c>
    </x:row>
    <x:row r="139" ht="22" customHeight="1">
      <x:c r="A139" s="34" t="str">
        <x:v>actividad_salud_asistencia_mujeres</x:v>
      </x:c>
      <x:c r="B139" s="34" t="str">
        <x:v>Actividad Salud Asistencia Mujeres</x:v>
      </x:c>
      <x:c r="C139" s="34" t="str">
        <x:v>Número de mujeres para la categoría indicada.</x:v>
      </x:c>
    </x:row>
    <x:row r="140" ht="22" customHeight="1">
      <x:c r="A140" s="34" t="str">
        <x:v>actividad_otras_total</x:v>
      </x:c>
      <x:c r="B140" s="34" t="str">
        <x:v>Actividad Otras Total</x:v>
      </x:c>
      <x:c r="C140" s="34" t="str">
        <x:v>Conteo de personas, viviendas u hogares según la variable de la ficha INE.</x:v>
      </x:c>
    </x:row>
    <x:row r="141" ht="22" customHeight="1">
      <x:c r="A141" s="34" t="str">
        <x:v>actividad_otras_hombres</x:v>
      </x:c>
      <x:c r="B141" s="34" t="str">
        <x:v>Actividad Otras Hombres</x:v>
      </x:c>
      <x:c r="C141" s="34" t="str">
        <x:v>Número de hombres para la categoría indicada.</x:v>
      </x:c>
    </x:row>
    <x:row r="142" ht="22" customHeight="1">
      <x:c r="A142" s="34" t="str">
        <x:v>actividad_otras_mujeres</x:v>
      </x:c>
      <x:c r="B142" s="34" t="str">
        <x:v>Actividad Otras Mujeres</x:v>
      </x:c>
      <x:c r="C142" s="34" t="str">
        <x:v>Número de mujeres para la categoría indicada.</x:v>
      </x:c>
    </x:row>
    <x:row r="143" ht="22" customHeight="1">
      <x:c r="A143" s="34" t="str">
        <x:v>actividad_sin_especificar_total</x:v>
      </x:c>
      <x:c r="B143" s="34" t="str">
        <x:v>Actividad Sin Especificar Total</x:v>
      </x:c>
      <x:c r="C143" s="34" t="str">
        <x:v>Conteo de personas, viviendas u hogares según la variable de la ficha INE.</x:v>
      </x:c>
    </x:row>
    <x:row r="144" ht="22" customHeight="1">
      <x:c r="A144" s="34" t="str">
        <x:v>actividad_sin_especificar_hombres</x:v>
      </x:c>
      <x:c r="B144" s="34" t="str">
        <x:v>Actividad Sin Especificar Hombres</x:v>
      </x:c>
      <x:c r="C144" s="34" t="str">
        <x:v>Número de hombres para la categoría indicada.</x:v>
      </x:c>
    </x:row>
    <x:row r="145" ht="22" customHeight="1">
      <x:c r="A145" s="34" t="str">
        <x:v>actividad_sin_especificar_mujeres</x:v>
      </x:c>
      <x:c r="B145" s="34" t="str">
        <x:v>Actividad Sin Especificar Mujeres</x:v>
      </x:c>
      <x:c r="C145" s="34" t="str">
        <x:v>Número de mujeres para la categoría indicada.</x:v>
      </x:c>
    </x:row>
    <x:row r="146" ht="22" customHeight="1">
      <x:c r="A146" s="34" t="str">
        <x:v>seguro_salud_total_total</x:v>
      </x:c>
      <x:c r="B146" s="34" t="str">
        <x:v>Seguro Salud Total Total</x:v>
      </x:c>
      <x:c r="C146" s="34" t="str">
        <x:v>Conteo de personas, viviendas u hogares según la variable de la ficha INE.</x:v>
      </x:c>
    </x:row>
    <x:row r="147" ht="22" customHeight="1">
      <x:c r="A147" s="34" t="str">
        <x:v>seguro_salud_total_hombres</x:v>
      </x:c>
      <x:c r="B147" s="34" t="str">
        <x:v>Seguro Salud Total Hombres</x:v>
      </x:c>
      <x:c r="C147" s="34" t="str">
        <x:v>Número de hombres para la categoría indicada.</x:v>
      </x:c>
    </x:row>
    <x:row r="148" ht="22" customHeight="1">
      <x:c r="A148" s="34" t="str">
        <x:v>seguro_salud_total_mujeres</x:v>
      </x:c>
      <x:c r="B148" s="34" t="str">
        <x:v>Seguro Salud Total Mujeres</x:v>
      </x:c>
      <x:c r="C148" s="34" t="str">
        <x:v>Número de mujeres para la categoría indicada.</x:v>
      </x:c>
    </x:row>
    <x:row r="149" ht="22" customHeight="1">
      <x:c r="A149" s="34" t="str">
        <x:v>seguro_salud_sus_total</x:v>
      </x:c>
      <x:c r="B149" s="34" t="str">
        <x:v>Seguro Salud Sus Total</x:v>
      </x:c>
      <x:c r="C149" s="34" t="str">
        <x:v>Conteo de personas, viviendas u hogares según la variable de la ficha INE.</x:v>
      </x:c>
    </x:row>
    <x:row r="150" ht="22" customHeight="1">
      <x:c r="A150" s="34" t="str">
        <x:v>seguro_salud_sus_hombres</x:v>
      </x:c>
      <x:c r="B150" s="34" t="str">
        <x:v>Seguro Salud Sus Hombres</x:v>
      </x:c>
      <x:c r="C150" s="34" t="str">
        <x:v>Número de hombres para la categoría indicada.</x:v>
      </x:c>
    </x:row>
    <x:row r="151" ht="22" customHeight="1">
      <x:c r="A151" s="34" t="str">
        <x:v>seguro_salud_sus_mujeres</x:v>
      </x:c>
      <x:c r="B151" s="34" t="str">
        <x:v>Seguro Salud Sus Mujeres</x:v>
      </x:c>
      <x:c r="C151" s="34" t="str">
        <x:v>Número de mujeres para la categoría indicada.</x:v>
      </x:c>
    </x:row>
    <x:row r="152" ht="22" customHeight="1">
      <x:c r="A152" s="34" t="str">
        <x:v>seguro_salud_caja_salud_total</x:v>
      </x:c>
      <x:c r="B152" s="34" t="str">
        <x:v>Seguro Salud Caja Salud Total</x:v>
      </x:c>
      <x:c r="C152" s="34" t="str">
        <x:v>Conteo de personas, viviendas u hogares según la variable de la ficha INE.</x:v>
      </x:c>
    </x:row>
    <x:row r="153" ht="22" customHeight="1">
      <x:c r="A153" s="34" t="str">
        <x:v>seguro_salud_caja_salud_hombres</x:v>
      </x:c>
      <x:c r="B153" s="34" t="str">
        <x:v>Seguro Salud Caja Salud Hombres</x:v>
      </x:c>
      <x:c r="C153" s="34" t="str">
        <x:v>Número de hombres para la categoría indicada.</x:v>
      </x:c>
    </x:row>
    <x:row r="154" ht="22" customHeight="1">
      <x:c r="A154" s="34" t="str">
        <x:v>seguro_salud_caja_salud_mujeres</x:v>
      </x:c>
      <x:c r="B154" s="34" t="str">
        <x:v>Seguro Salud Caja Salud Mujeres</x:v>
      </x:c>
      <x:c r="C154" s="34" t="str">
        <x:v>Número de mujeres para la categoría indicada.</x:v>
      </x:c>
    </x:row>
    <x:row r="155" ht="22" customHeight="1">
      <x:c r="A155" s="34" t="str">
        <x:v>seguro_salud_seguro_privado_total</x:v>
      </x:c>
      <x:c r="B155" s="34" t="str">
        <x:v>Seguro Salud Seguro Privado Total</x:v>
      </x:c>
      <x:c r="C155" s="34" t="str">
        <x:v>Conteo de personas, viviendas u hogares según la variable de la ficha INE.</x:v>
      </x:c>
    </x:row>
    <x:row r="156" ht="22" customHeight="1">
      <x:c r="A156" s="34" t="str">
        <x:v>seguro_salud_seguro_privado_hombres</x:v>
      </x:c>
      <x:c r="B156" s="34" t="str">
        <x:v>Seguro Salud Seguro Privado Hombres</x:v>
      </x:c>
      <x:c r="C156" s="34" t="str">
        <x:v>Número de hombres para la categoría indicada.</x:v>
      </x:c>
    </x:row>
    <x:row r="157" ht="22" customHeight="1">
      <x:c r="A157" s="34" t="str">
        <x:v>seguro_salud_seguro_privado_mujeres</x:v>
      </x:c>
      <x:c r="B157" s="34" t="str">
        <x:v>Seguro Salud Seguro Privado Mujeres</x:v>
      </x:c>
      <x:c r="C157" s="34" t="str">
        <x:v>Número de mujeres para la categoría indicada.</x:v>
      </x:c>
    </x:row>
    <x:row r="158" ht="22" customHeight="1">
      <x:c r="A158" s="34" t="str">
        <x:v>seguro_salud_ninguno_total</x:v>
      </x:c>
      <x:c r="B158" s="34" t="str">
        <x:v>Seguro Salud Ninguno Total</x:v>
      </x:c>
      <x:c r="C158" s="34" t="str">
        <x:v>Conteo de personas, viviendas u hogares según la variable de la ficha INE.</x:v>
      </x:c>
    </x:row>
    <x:row r="159" ht="22" customHeight="1">
      <x:c r="A159" s="34" t="str">
        <x:v>seguro_salud_ninguno_hombres</x:v>
      </x:c>
      <x:c r="B159" s="34" t="str">
        <x:v>Seguro Salud Ninguno Hombres</x:v>
      </x:c>
      <x:c r="C159" s="34" t="str">
        <x:v>Número de hombres para la categoría indicada.</x:v>
      </x:c>
    </x:row>
    <x:row r="160" ht="22" customHeight="1">
      <x:c r="A160" s="34" t="str">
        <x:v>seguro_salud_ninguno_mujeres</x:v>
      </x:c>
      <x:c r="B160" s="34" t="str">
        <x:v>Seguro Salud Ninguno Mujeres</x:v>
      </x:c>
      <x:c r="C160" s="34" t="str">
        <x:v>Número de mujeres para la categoría indicada.</x:v>
      </x:c>
    </x:row>
    <x:row r="161" ht="22" customHeight="1">
      <x:c r="A161" s="34" t="str">
        <x:v>seguro_salud_sin_especificar_total</x:v>
      </x:c>
      <x:c r="B161" s="34" t="str">
        <x:v>Seguro Salud Sin Especificar Total</x:v>
      </x:c>
      <x:c r="C161" s="34" t="str">
        <x:v>Conteo de personas, viviendas u hogares según la variable de la ficha INE.</x:v>
      </x:c>
    </x:row>
    <x:row r="162" ht="22" customHeight="1">
      <x:c r="A162" s="34" t="str">
        <x:v>seguro_salud_sin_especificar_hombres</x:v>
      </x:c>
      <x:c r="B162" s="34" t="str">
        <x:v>Seguro Salud Sin Especificar Hombres</x:v>
      </x:c>
      <x:c r="C162" s="34" t="str">
        <x:v>Número de hombres para la categoría indicada.</x:v>
      </x:c>
    </x:row>
    <x:row r="163" ht="22" customHeight="1">
      <x:c r="A163" s="34" t="str">
        <x:v>seguro_salud_sin_especificar_mujeres</x:v>
      </x:c>
      <x:c r="B163" s="34" t="str">
        <x:v>Seguro Salud Sin Especificar Mujeres</x:v>
      </x:c>
      <x:c r="C163" s="34" t="str">
        <x:v>Número de mujeres para la categoría indicada.</x:v>
      </x:c>
    </x:row>
    <x:row r="164" ht="22" customHeight="1">
      <x:c r="A164" s="34" t="str">
        <x:v>vivienda_total</x:v>
      </x:c>
      <x:c r="B164" s="34" t="str">
        <x:v>Vivienda Total</x:v>
      </x:c>
      <x:c r="C164" s="34" t="str">
        <x:v>Conteo de personas, viviendas u hogares según la variable de la ficha INE.</x:v>
      </x:c>
    </x:row>
    <x:row r="165" ht="22" customHeight="1">
      <x:c r="A165" s="34" t="str">
        <x:v>vivienda_particulares</x:v>
      </x:c>
      <x:c r="B165" s="34" t="str">
        <x:v>Vivienda Particulares</x:v>
      </x:c>
      <x:c r="C165" s="34" t="str">
        <x:v>Conteo de personas, viviendas u hogares según la variable de la ficha INE.</x:v>
      </x:c>
    </x:row>
    <x:row r="166" ht="22" customHeight="1">
      <x:c r="A166" s="34" t="str">
        <x:v>vivienda_personas_presentes</x:v>
      </x:c>
      <x:c r="B166" s="34" t="str">
        <x:v>Vivienda Personas Presentes</x:v>
      </x:c>
      <x:c r="C166" s="34" t="str">
        <x:v>Conteo de personas, viviendas u hogares según la variable de la ficha INE.</x:v>
      </x:c>
    </x:row>
    <x:row r="167" ht="22" customHeight="1">
      <x:c r="A167" s="34" t="str">
        <x:v>vivienda_temporalmente_ausentes</x:v>
      </x:c>
      <x:c r="B167" s="34" t="str">
        <x:v>Vivienda Temporalmente Ausentes</x:v>
      </x:c>
      <x:c r="C167" s="34" t="str">
        <x:v>Conteo de personas, viviendas u hogares según la variable de la ficha INE.</x:v>
      </x:c>
    </x:row>
    <x:row r="168" ht="22" customHeight="1">
      <x:c r="A168" s="34" t="str">
        <x:v>vivienda_desocupadas</x:v>
      </x:c>
      <x:c r="B168" s="34" t="str">
        <x:v>Vivienda Desocupadas</x:v>
      </x:c>
      <x:c r="C168" s="34" t="str">
        <x:v>Conteo de personas, viviendas u hogares según la variable de la ficha INE.</x:v>
      </x:c>
    </x:row>
    <x:row r="169" ht="22" customHeight="1">
      <x:c r="A169" s="34" t="str">
        <x:v>vivienda_colectivas</x:v>
      </x:c>
      <x:c r="B169" s="34" t="str">
        <x:v>Vivienda Colectivas</x:v>
      </x:c>
      <x:c r="C169" s="34" t="str">
        <x:v>Conteo de personas, viviendas u hogares según la variable de la ficha INE.</x:v>
      </x:c>
    </x:row>
    <x:row r="170" ht="22" customHeight="1">
      <x:c r="A170" s="34" t="str">
        <x:v>tenencia_total</x:v>
      </x:c>
      <x:c r="B170" s="34" t="str">
        <x:v>Tenencia Total</x:v>
      </x:c>
      <x:c r="C170" s="34" t="str">
        <x:v>Conteo de personas, viviendas u hogares según la variable de la ficha INE.</x:v>
      </x:c>
    </x:row>
    <x:row r="171" ht="22" customHeight="1">
      <x:c r="A171" s="34" t="str">
        <x:v>tenencia_propia</x:v>
      </x:c>
      <x:c r="B171" s="34" t="str">
        <x:v>Tenencia Propia</x:v>
      </x:c>
      <x:c r="C171" s="34" t="str">
        <x:v>Conteo de personas, viviendas u hogares según la variable de la ficha INE.</x:v>
      </x:c>
    </x:row>
    <x:row r="172" ht="22" customHeight="1">
      <x:c r="A172" s="34" t="str">
        <x:v>tenencia_alquilada</x:v>
      </x:c>
      <x:c r="B172" s="34" t="str">
        <x:v>Tenencia Alquilada</x:v>
      </x:c>
      <x:c r="C172" s="34" t="str">
        <x:v>Conteo de personas, viviendas u hogares según la variable de la ficha INE.</x:v>
      </x:c>
    </x:row>
    <x:row r="173" ht="22" customHeight="1">
      <x:c r="A173" s="34" t="str">
        <x:v>tenencia_anticretico_mixto</x:v>
      </x:c>
      <x:c r="B173" s="34" t="str">
        <x:v>Tenencia anticrético Mixto</x:v>
      </x:c>
      <x:c r="C173" s="34" t="str">
        <x:v>Conteo de personas, viviendas u hogares según la variable de la ficha INE.</x:v>
      </x:c>
    </x:row>
    <x:row r="174" ht="22" customHeight="1">
      <x:c r="A174" s="34" t="str">
        <x:v>tenencia_cedida_prestada</x:v>
      </x:c>
      <x:c r="B174" s="34" t="str">
        <x:v>Tenencia Cedida Prestada</x:v>
      </x:c>
      <x:c r="C174" s="34" t="str">
        <x:v>Conteo de personas, viviendas u hogares según la variable de la ficha INE.</x:v>
      </x:c>
    </x:row>
    <x:row r="175" ht="22" customHeight="1">
      <x:c r="A175" s="34" t="str">
        <x:v>tenencia_otra</x:v>
      </x:c>
      <x:c r="B175" s="34" t="str">
        <x:v>Tenencia Otra</x:v>
      </x:c>
      <x:c r="C175" s="34" t="str">
        <x:v>Conteo de personas, viviendas u hogares según la variable de la ficha INE.</x:v>
      </x:c>
    </x:row>
    <x:row r="176" ht="22" customHeight="1">
      <x:c r="A176" s="34" t="str">
        <x:v>electricidad_total</x:v>
      </x:c>
      <x:c r="B176" s="34" t="str">
        <x:v>Electricidad Total</x:v>
      </x:c>
      <x:c r="C176" s="34" t="str">
        <x:v>Conteo de personas, viviendas u hogares según la variable de la ficha INE.</x:v>
      </x:c>
    </x:row>
    <x:row r="177" ht="22" customHeight="1">
      <x:c r="A177" s="34" t="str">
        <x:v>electricidad_servicio_publico</x:v>
      </x:c>
      <x:c r="B177" s="34" t="str">
        <x:v>Electricidad Servicio Publico</x:v>
      </x:c>
      <x:c r="C177" s="34" t="str">
        <x:v>Conteo de personas, viviendas u hogares según la variable de la ficha INE.</x:v>
      </x:c>
    </x:row>
    <x:row r="178" ht="22" customHeight="1">
      <x:c r="A178" s="34" t="str">
        <x:v>electricidad_motor_propio</x:v>
      </x:c>
      <x:c r="B178" s="34" t="str">
        <x:v>Electricidad Motor Propio</x:v>
      </x:c>
      <x:c r="C178" s="34" t="str">
        <x:v>Conteo de personas, viviendas u hogares según la variable de la ficha INE.</x:v>
      </x:c>
    </x:row>
    <x:row r="179" ht="22" customHeight="1">
      <x:c r="A179" s="34" t="str">
        <x:v>electricidad_panel_solar</x:v>
      </x:c>
      <x:c r="B179" s="34" t="str">
        <x:v>Electricidad Panel Solar</x:v>
      </x:c>
      <x:c r="C179" s="34" t="str">
        <x:v>Conteo de personas, viviendas u hogares según la variable de la ficha INE.</x:v>
      </x:c>
    </x:row>
    <x:row r="180" ht="22" customHeight="1">
      <x:c r="A180" s="34" t="str">
        <x:v>electricidad_otra</x:v>
      </x:c>
      <x:c r="B180" s="34" t="str">
        <x:v>Electricidad Otra</x:v>
      </x:c>
      <x:c r="C180" s="34" t="str">
        <x:v>Conteo de personas, viviendas u hogares según la variable de la ficha INE.</x:v>
      </x:c>
    </x:row>
    <x:row r="181" ht="22" customHeight="1">
      <x:c r="A181" s="34" t="str">
        <x:v>electricidad_no_tiene</x:v>
      </x:c>
      <x:c r="B181" s="34" t="str">
        <x:v>Electricidad No Tiene</x:v>
      </x:c>
      <x:c r="C181" s="34" t="str">
        <x:v>Conteo de personas, viviendas u hogares según la variable de la ficha INE.</x:v>
      </x:c>
    </x:row>
    <x:row r="182" ht="22" customHeight="1">
      <x:c r="A182" s="34" t="str">
        <x:v>agua_total</x:v>
      </x:c>
      <x:c r="B182" s="34" t="str">
        <x:v>Agua Total</x:v>
      </x:c>
      <x:c r="C182" s="34" t="str">
        <x:v>Conteo de personas, viviendas u hogares según la variable de la ficha INE.</x:v>
      </x:c>
    </x:row>
    <x:row r="183" ht="22" customHeight="1">
      <x:c r="A183" s="34" t="str">
        <x:v>agua_red</x:v>
      </x:c>
      <x:c r="B183" s="34" t="str">
        <x:v>Agua Red</x:v>
      </x:c>
      <x:c r="C183" s="34" t="str">
        <x:v>Conteo de personas, viviendas u hogares según la variable de la ficha INE.</x:v>
      </x:c>
    </x:row>
    <x:row r="184" ht="22" customHeight="1">
      <x:c r="A184" s="34" t="str">
        <x:v>agua_pileta_publica</x:v>
      </x:c>
      <x:c r="B184" s="34" t="str">
        <x:v>Agua Pileta Publica</x:v>
      </x:c>
      <x:c r="C184" s="34" t="str">
        <x:v>Conteo de personas, viviendas u hogares según la variable de la ficha INE.</x:v>
      </x:c>
    </x:row>
    <x:row r="185" ht="22" customHeight="1">
      <x:c r="A185" s="34" t="str">
        <x:v>agua_carro_repartidor</x:v>
      </x:c>
      <x:c r="B185" s="34" t="str">
        <x:v>Agua Carro Repartidor</x:v>
      </x:c>
      <x:c r="C185" s="34" t="str">
        <x:v>Conteo de personas, viviendas u hogares según la variable de la ficha INE.</x:v>
      </x:c>
    </x:row>
    <x:row r="186" ht="22" customHeight="1">
      <x:c r="A186" s="34" t="str">
        <x:v>agua_pozo_bomba</x:v>
      </x:c>
      <x:c r="B186" s="34" t="str">
        <x:v>Agua Pozo Bomba</x:v>
      </x:c>
      <x:c r="C186" s="34" t="str">
        <x:v>Conteo de personas, viviendas u hogares según la variable de la ficha INE.</x:v>
      </x:c>
    </x:row>
    <x:row r="187" ht="22" customHeight="1">
      <x:c r="A187" s="34" t="str">
        <x:v>agua_pozo_sin_bomba</x:v>
      </x:c>
      <x:c r="B187" s="34" t="str">
        <x:v>Agua Pozo Sin Bomba</x:v>
      </x:c>
      <x:c r="C187" s="34" t="str">
        <x:v>Conteo de personas, viviendas u hogares según la variable de la ficha INE.</x:v>
      </x:c>
    </x:row>
    <x:row r="188" ht="22" customHeight="1">
      <x:c r="A188" s="34" t="str">
        <x:v>agua_rio_vertiente_no_protegida</x:v>
      </x:c>
      <x:c r="B188" s="34" t="str">
        <x:v>Agua río Vertiente No Protegida</x:v>
      </x:c>
      <x:c r="C188" s="34" t="str">
        <x:v>Conteo de personas, viviendas u hogares según la variable de la ficha INE.</x:v>
      </x:c>
    </x:row>
    <x:row r="189" ht="22" customHeight="1">
      <x:c r="A189" s="34" t="str">
        <x:v>agua_vertiente_protegida</x:v>
      </x:c>
      <x:c r="B189" s="34" t="str">
        <x:v>Agua Vertiente Protegida</x:v>
      </x:c>
      <x:c r="C189" s="34" t="str">
        <x:v>Conteo de personas, viviendas u hogares según la variable de la ficha INE.</x:v>
      </x:c>
    </x:row>
    <x:row r="190" ht="22" customHeight="1">
      <x:c r="A190" s="34" t="str">
        <x:v>agua_lluvia</x:v>
      </x:c>
      <x:c r="B190" s="34" t="str">
        <x:v>Agua Lluvia</x:v>
      </x:c>
      <x:c r="C190" s="34" t="str">
        <x:v>Conteo de personas, viviendas u hogares según la variable de la ficha INE.</x:v>
      </x:c>
    </x:row>
    <x:row r="191" ht="22" customHeight="1">
      <x:c r="A191" s="34" t="str">
        <x:v>agua_otra</x:v>
      </x:c>
      <x:c r="B191" s="34" t="str">
        <x:v>Agua Otra</x:v>
      </x:c>
      <x:c r="C191" s="34" t="str">
        <x:v>Conteo de personas, viviendas u hogares según la variable de la ficha INE.</x:v>
      </x:c>
    </x:row>
    <x:row r="192" ht="22" customHeight="1">
      <x:c r="A192" s="34" t="str">
        <x:v>saneamiento_total</x:v>
      </x:c>
      <x:c r="B192" s="34" t="str">
        <x:v>Saneamiento Total</x:v>
      </x:c>
      <x:c r="C192" s="34" t="str">
        <x:v>Conteo de personas, viviendas u hogares según la variable de la ficha INE.</x:v>
      </x:c>
    </x:row>
    <x:row r="193" ht="22" customHeight="1">
      <x:c r="A193" s="34" t="str">
        <x:v>saneamiento_alcantarillado</x:v>
      </x:c>
      <x:c r="B193" s="34" t="str">
        <x:v>Saneamiento Alcantarillado</x:v>
      </x:c>
      <x:c r="C193" s="34" t="str">
        <x:v>Conteo de personas, viviendas u hogares según la variable de la ficha INE.</x:v>
      </x:c>
    </x:row>
    <x:row r="194" ht="22" customHeight="1">
      <x:c r="A194" s="34" t="str">
        <x:v>saneamiento_camara_septica</x:v>
      </x:c>
      <x:c r="B194" s="34" t="str">
        <x:v>Saneamiento cámara Septica</x:v>
      </x:c>
      <x:c r="C194" s="34" t="str">
        <x:v>Conteo de personas, viviendas u hogares según la variable de la ficha INE.</x:v>
      </x:c>
    </x:row>
    <x:row r="195" ht="22" customHeight="1">
      <x:c r="A195" s="34" t="str">
        <x:v>saneamiento_pozo_ciego</x:v>
      </x:c>
      <x:c r="B195" s="34" t="str">
        <x:v>Saneamiento Pozo Ciego</x:v>
      </x:c>
      <x:c r="C195" s="34" t="str">
        <x:v>Conteo de personas, viviendas u hogares según la variable de la ficha INE.</x:v>
      </x:c>
    </x:row>
    <x:row r="196" ht="22" customHeight="1">
      <x:c r="A196" s="34" t="str">
        <x:v>saneamiento_superficie</x:v>
      </x:c>
      <x:c r="B196" s="34" t="str">
        <x:v>Saneamiento Superficie</x:v>
      </x:c>
      <x:c r="C196" s="34" t="str">
        <x:v>Conteo de personas, viviendas u hogares según la variable de la ficha INE.</x:v>
      </x:c>
    </x:row>
    <x:row r="197" ht="22" customHeight="1">
      <x:c r="A197" s="34" t="str">
        <x:v>saneamiento_pozo_absorcion</x:v>
      </x:c>
      <x:c r="B197" s="34" t="str">
        <x:v>Saneamiento Pozo Absorcion</x:v>
      </x:c>
      <x:c r="C197" s="34" t="str">
        <x:v>Conteo de personas, viviendas u hogares según la variable de la ficha INE.</x:v>
      </x:c>
    </x:row>
    <x:row r="198" ht="22" customHeight="1">
      <x:c r="A198" s="34" t="str">
        <x:v>saneamiento_bano_ecologico</x:v>
      </x:c>
      <x:c r="B198" s="34" t="str">
        <x:v>Saneamiento baño Ecologico</x:v>
      </x:c>
      <x:c r="C198" s="34" t="str">
        <x:v>Conteo de personas, viviendas u hogares según la variable de la ficha INE.</x:v>
      </x:c>
    </x:row>
    <x:row r="199" ht="22" customHeight="1">
      <x:c r="A199" s="34" t="str">
        <x:v>saneamiento_no_tiene</x:v>
      </x:c>
      <x:c r="B199" s="34" t="str">
        <x:v>Saneamiento No Tiene</x:v>
      </x:c>
      <x:c r="C199" s="34" t="str">
        <x:v>Conteo de personas, viviendas u hogares según la variable de la ficha INE.</x:v>
      </x:c>
    </x:row>
    <x:row r="200" ht="22" customHeight="1">
      <x:c r="A200" s="34" t="str">
        <x:v>cocina_total</x:v>
      </x:c>
      <x:c r="B200" s="34" t="str">
        <x:v>Cocina Total</x:v>
      </x:c>
      <x:c r="C200" s="34" t="str">
        <x:v>Conteo de personas, viviendas u hogares según la variable de la ficha INE.</x:v>
      </x:c>
    </x:row>
    <x:row r="201" ht="22" customHeight="1">
      <x:c r="A201" s="34" t="str">
        <x:v>cocina_gas_garrafa</x:v>
      </x:c>
      <x:c r="B201" s="34" t="str">
        <x:v>Cocina Gas Garrafa</x:v>
      </x:c>
      <x:c r="C201" s="34" t="str">
        <x:v>Conteo de personas, viviendas u hogares según la variable de la ficha INE.</x:v>
      </x:c>
    </x:row>
    <x:row r="202" ht="22" customHeight="1">
      <x:c r="A202" s="34" t="str">
        <x:v>cocina_gas_caneria</x:v>
      </x:c>
      <x:c r="B202" s="34" t="str">
        <x:v>Cocina Gas cañería</x:v>
      </x:c>
      <x:c r="C202" s="34" t="str">
        <x:v>Conteo de personas, viviendas u hogares según la variable de la ficha INE.</x:v>
      </x:c>
    </x:row>
    <x:row r="203" ht="22" customHeight="1">
      <x:c r="A203" s="34" t="str">
        <x:v>cocina_lena</x:v>
      </x:c>
      <x:c r="B203" s="34" t="str">
        <x:v>Cocina leña</x:v>
      </x:c>
      <x:c r="C203" s="34" t="str">
        <x:v>Conteo de personas, viviendas u hogares según la variable de la ficha INE.</x:v>
      </x:c>
    </x:row>
    <x:row r="204" ht="22" customHeight="1">
      <x:c r="A204" s="34" t="str">
        <x:v>cocina_guano_bosta</x:v>
      </x:c>
      <x:c r="B204" s="34" t="str">
        <x:v>Cocina Guano Bosta</x:v>
      </x:c>
      <x:c r="C204" s="34" t="str">
        <x:v>Conteo de personas, viviendas u hogares según la variable de la ficha INE.</x:v>
      </x:c>
    </x:row>
    <x:row r="205" ht="22" customHeight="1">
      <x:c r="A205" s="34" t="str">
        <x:v>cocina_electricidad</x:v>
      </x:c>
      <x:c r="B205" s="34" t="str">
        <x:v>Cocina Electricidad</x:v>
      </x:c>
      <x:c r="C205" s="34" t="str">
        <x:v>Conteo de personas, viviendas u hogares según la variable de la ficha INE.</x:v>
      </x:c>
    </x:row>
    <x:row r="206" ht="22" customHeight="1">
      <x:c r="A206" s="34" t="str">
        <x:v>cocina_solar</x:v>
      </x:c>
      <x:c r="B206" s="34" t="str">
        <x:v>Cocina Solar</x:v>
      </x:c>
      <x:c r="C206" s="34" t="str">
        <x:v>Conteo de personas, viviendas u hogares según la variable de la ficha INE.</x:v>
      </x:c>
    </x:row>
    <x:row r="207" ht="22" customHeight="1">
      <x:c r="A207" s="34" t="str">
        <x:v>cocina_otro</x:v>
      </x:c>
      <x:c r="B207" s="34" t="str">
        <x:v>Cocina Otro</x:v>
      </x:c>
      <x:c r="C207" s="34" t="str">
        <x:v>Conteo de personas, viviendas u hogares según la variable de la ficha INE.</x:v>
      </x:c>
    </x:row>
    <x:row r="208" ht="22" customHeight="1">
      <x:c r="A208" s="34" t="str">
        <x:v>cocina_no_cocina</x:v>
      </x:c>
      <x:c r="B208" s="34" t="str">
        <x:v>Cocina No Cocina</x:v>
      </x:c>
      <x:c r="C208" s="34" t="str">
        <x:v>Conteo de personas, viviendas u hogares según la variable de la ficha INE.</x:v>
      </x:c>
    </x:row>
    <x:row r="209" ht="22" customHeight="1">
      <x:c r="A209" s="34" t="str">
        <x:v>basura_total</x:v>
      </x:c>
      <x:c r="B209" s="34" t="str">
        <x:v>Basura Total</x:v>
      </x:c>
      <x:c r="C209" s="34" t="str">
        <x:v>Conteo de personas, viviendas u hogares según la variable de la ficha INE.</x:v>
      </x:c>
    </x:row>
    <x:row r="210" ht="22" customHeight="1">
      <x:c r="A210" s="34" t="str">
        <x:v>basura_contenedor</x:v>
      </x:c>
      <x:c r="B210" s="34" t="str">
        <x:v>Basura Contenedor</x:v>
      </x:c>
      <x:c r="C210" s="34" t="str">
        <x:v>Conteo de personas, viviendas u hogares según la variable de la ficha INE.</x:v>
      </x:c>
    </x:row>
    <x:row r="211" ht="22" customHeight="1">
      <x:c r="A211" s="34" t="str">
        <x:v>basura_carro_basurero</x:v>
      </x:c>
      <x:c r="B211" s="34" t="str">
        <x:v>Basura Carro Basurero</x:v>
      </x:c>
      <x:c r="C211" s="34" t="str">
        <x:v>Conteo de personas, viviendas u hogares según la variable de la ficha INE.</x:v>
      </x:c>
    </x:row>
    <x:row r="212" ht="22" customHeight="1">
      <x:c r="A212" s="34" t="str">
        <x:v>basura_terreno_calle</x:v>
      </x:c>
      <x:c r="B212" s="34" t="str">
        <x:v>Basura Terreno Calle</x:v>
      </x:c>
      <x:c r="C212" s="34" t="str">
        <x:v>Conteo de personas, viviendas u hogares según la variable de la ficha INE.</x:v>
      </x:c>
    </x:row>
    <x:row r="213" ht="22" customHeight="1">
      <x:c r="A213" s="34" t="str">
        <x:v>basura_rio</x:v>
      </x:c>
      <x:c r="B213" s="34" t="str">
        <x:v>Basura río</x:v>
      </x:c>
      <x:c r="C213" s="34" t="str">
        <x:v>Conteo de personas, viviendas u hogares según la variable de la ficha INE.</x:v>
      </x:c>
    </x:row>
    <x:row r="214" ht="22" customHeight="1">
      <x:c r="A214" s="34" t="str">
        <x:v>basura_quema</x:v>
      </x:c>
      <x:c r="B214" s="34" t="str">
        <x:v>Basura Quema</x:v>
      </x:c>
      <x:c r="C214" s="34" t="str">
        <x:v>Conteo de personas, viviendas u hogares según la variable de la ficha INE.</x:v>
      </x:c>
    </x:row>
    <x:row r="215" ht="22" customHeight="1">
      <x:c r="A215" s="34" t="str">
        <x:v>basura_entierra</x:v>
      </x:c>
      <x:c r="B215" s="34" t="str">
        <x:v>Basura Entierra</x:v>
      </x:c>
      <x:c r="C215" s="34" t="str">
        <x:v>Conteo de personas, viviendas u hogares según la variable de la ficha INE.</x:v>
      </x:c>
    </x:row>
    <x:row r="216" ht="22" customHeight="1">
      <x:c r="A216" s="34" t="str">
        <x:v>basura_otra</x:v>
      </x:c>
      <x:c r="B216" s="34" t="str">
        <x:v>Basura Otra</x:v>
      </x:c>
      <x:c r="C216" s="34" t="str">
        <x:v>Conteo de personas, viviendas u hogares según la variable de la ficha INE.</x:v>
      </x:c>
    </x:row>
    <x:row r="217" ht="22" customHeight="1">
      <x:c r="A217" s="34" t="str">
        <x:v>tic_total_hogares</x:v>
      </x:c>
      <x:c r="B217" s="34" t="str">
        <x:v>Tic Total Hogares</x:v>
      </x:c>
      <x:c r="C217" s="34" t="str">
        <x:v>Conteo de personas, viviendas u hogares según la variable de la ficha INE.</x:v>
      </x:c>
    </x:row>
    <x:row r="218" ht="22" customHeight="1">
      <x:c r="A218" s="34" t="str">
        <x:v>tic_radio</x:v>
      </x:c>
      <x:c r="B218" s="34" t="str">
        <x:v>Tic Radio</x:v>
      </x:c>
      <x:c r="C218" s="34" t="str">
        <x:v>Conteo de personas, viviendas u hogares según la variable de la ficha INE.</x:v>
      </x:c>
    </x:row>
    <x:row r="219" ht="22" customHeight="1">
      <x:c r="A219" s="34" t="str">
        <x:v>tic_televisor</x:v>
      </x:c>
      <x:c r="B219" s="34" t="str">
        <x:v>Tic Televisor</x:v>
      </x:c>
      <x:c r="C219" s="34" t="str">
        <x:v>Conteo de personas, viviendas u hogares según la variable de la ficha INE.</x:v>
      </x:c>
    </x:row>
    <x:row r="220" ht="22" customHeight="1">
      <x:c r="A220" s="34" t="str">
        <x:v>tic_celular</x:v>
      </x:c>
      <x:c r="B220" s="34" t="str">
        <x:v>Tic Celular</x:v>
      </x:c>
      <x:c r="C220" s="34" t="str">
        <x:v>Conteo de personas, viviendas u hogares según la variable de la ficha INE.</x:v>
      </x:c>
    </x:row>
    <x:row r="221" ht="22" customHeight="1">
      <x:c r="A221" s="34" t="str">
        <x:v>tic_internet</x:v>
      </x:c>
      <x:c r="B221" s="34" t="str">
        <x:v>Tic Internet</x:v>
      </x:c>
      <x:c r="C221" s="34" t="str">
        <x:v>Conteo de personas, viviendas u hogares según la variable de la ficha INE.</x:v>
      </x:c>
    </x:row>
    <x:row r="222" ht="22" customHeight="1">
      <x:c r="A222" s="34" t="str">
        <x:v>archivo_pdf</x:v>
      </x:c>
      <x:c r="B222" s="34" t="str">
        <x:v>Archivo PDF</x:v>
      </x:c>
      <x:c r="C222" s="34" t="str">
        <x:v>Identificador o texto descriptivo extraído/asociado a la ficha.</x:v>
      </x:c>
    </x:row>
    <x:row r="223" ht="22" customHeight="1">
      <x:c r="A223" s="35" t="str">
        <x:v>fuente</x:v>
      </x:c>
      <x:c r="B223" s="35" t="str">
        <x:v>Fuente</x:v>
      </x:c>
      <x:c r="C223" s="35" t="str">
        <x:v>Fuente declarada para el registro.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d1068d5b7784a8e"/>
  </x:tableParts>
</x:worksheet>
</file>