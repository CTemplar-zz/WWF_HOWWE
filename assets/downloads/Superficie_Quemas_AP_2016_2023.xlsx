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cd703379c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mas por AP" sheetId="1" r:id="R21356972d42442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%"/>
  </x:numFmts>
  <x:fonts count="8">
    <x:font>
      <x:sz val="11"/>
      <x:name val="Carlito"/>
    </x:font>
    <x:font>
      <x:b/>
      <x:sz val="14"/>
      <x:color rgb="FF17365D"/>
      <x:name val="Arial"/>
    </x:font>
    <x:font>
      <x:i/>
      <x:sz val="10"/>
      <x:color rgb="FF404040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b/>
      <x:sz val="10"/>
      <x:color rgb="FF222222"/>
      <x:name val="Arial"/>
    </x:font>
    <x:font>
      <x:i/>
      <x:sz val="10"/>
      <x:color rgb="FF222222"/>
      <x:name val="Arial"/>
    </x:font>
    <x:font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7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200" fontId="7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d021cc790413e" /><Relationship Type="http://schemas.openxmlformats.org/officeDocument/2006/relationships/theme" Target="/xl/theme/theme1.xml" Id="R4285ee805f264ce4" /><Relationship Type="http://schemas.openxmlformats.org/officeDocument/2006/relationships/sharedStrings" Target="/xl/sharedStrings.xml" Id="Rfa915a50805b43c1" /><Relationship Type="http://schemas.openxmlformats.org/officeDocument/2006/relationships/worksheet" Target="/xl/worksheets/sheet1.xml" Id="R21356972d4244266" /></Relationships>
</file>

<file path=xl/tables/table1.xml><?xml version="1.0" encoding="utf-8"?>
<x:table xmlns:x="http://schemas.openxmlformats.org/spreadsheetml/2006/main" id="1" name="SuperficieQuemasAP" displayName="SuperficieQuemasAP" ref="A5:S33" headerRowCount="1" totalsRowCount="0" totalsRowShown="0">
  <x:tableColumns count="19">
    <x:tableColumn id="1" name="ID AP"/>
    <x:tableColumn id="2" name="Área protegida"/>
    <x:tableColumn id="3" name="Área del AP (ha)"/>
    <x:tableColumn id="4" name="2016 Superficie quemada (ha)"/>
    <x:tableColumn id="5" name="2016 % AP quemado"/>
    <x:tableColumn id="6" name="2017 Superficie quemada (ha)"/>
    <x:tableColumn id="7" name="2017 % AP quemado"/>
    <x:tableColumn id="8" name="2018 Superficie quemada (ha)"/>
    <x:tableColumn id="9" name="2018 % AP quemado"/>
    <x:tableColumn id="10" name="2019 Superficie quemada (ha)"/>
    <x:tableColumn id="11" name="2019 % AP quemado"/>
    <x:tableColumn id="12" name="2020 Superficie quemada (ha)"/>
    <x:tableColumn id="13" name="2020 % AP quemado"/>
    <x:tableColumn id="14" name="2021 Superficie quemada (ha)"/>
    <x:tableColumn id="15" name="2021 % AP quemado"/>
    <x:tableColumn id="16" name="2022 Superficie quemada (ha)"/>
    <x:tableColumn id="17" name="2022 % AP quemado"/>
    <x:tableColumn id="18" name="2023 Superficie quemada (ha)"/>
    <x:tableColumn id="19" name="2023 % AP quem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5e14c27b61490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</x:cols>
  <x:sheetData>
    <x:row r="1" ht="26" customHeight="1">
      <x:c r="A1" s="1" t="str">
        <x:v>Superficie quemada por área protegida, 2016–2023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</x:row>
    <x:row r="2" ht="22" customHeight="1">
      <x:c r="A2" s="3" t="str">
        <x:v>Una fila por AP. Superficie disuelta por AP y año; porcentaje = hectáreas quemadas ÷ área geodésica del AP. Las zonas superpuestas se cuentan una sola vez.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</x:row>
    <x:row r="4" ht="22" customHeight="1">
      <x:c r="A4" s="13" t="str"/>
      <x:c r="B4" s="13" t="str"/>
      <x:c r="C4" s="13" t="str"/>
      <x:c r="D4" s="14" t="n">
        <x:v>2016</x:v>
      </x:c>
      <x:c r="E4" s="14" t="n">
        <x:v>2016</x:v>
      </x:c>
      <x:c r="F4" s="14" t="n">
        <x:v>2017</x:v>
      </x:c>
      <x:c r="G4" s="14" t="n">
        <x:v>2017</x:v>
      </x:c>
      <x:c r="H4" s="14" t="n">
        <x:v>2018</x:v>
      </x:c>
      <x:c r="I4" s="14" t="n">
        <x:v>2018</x:v>
      </x:c>
      <x:c r="J4" s="14" t="n">
        <x:v>2019</x:v>
      </x:c>
      <x:c r="K4" s="14" t="n">
        <x:v>2019</x:v>
      </x:c>
      <x:c r="L4" s="14" t="n">
        <x:v>2020</x:v>
      </x:c>
      <x:c r="M4" s="14" t="n">
        <x:v>2020</x:v>
      </x:c>
      <x:c r="N4" s="14" t="n">
        <x:v>2021</x:v>
      </x:c>
      <x:c r="O4" s="14" t="n">
        <x:v>2021</x:v>
      </x:c>
      <x:c r="P4" s="14" t="n">
        <x:v>2022</x:v>
      </x:c>
      <x:c r="Q4" s="14" t="n">
        <x:v>2022</x:v>
      </x:c>
      <x:c r="R4" s="14" t="n">
        <x:v>2023</x:v>
      </x:c>
      <x:c r="S4" s="14" t="n">
        <x:v>2023</x:v>
      </x:c>
    </x:row>
    <x:row r="5" ht="40" customHeight="1">
      <x:c r="A5" s="18" t="str">
        <x:v>ID AP</x:v>
      </x:c>
      <x:c r="B5" s="18" t="str">
        <x:v>Área protegida</x:v>
      </x:c>
      <x:c r="C5" s="18" t="str">
        <x:v>Área del AP (ha)</x:v>
      </x:c>
      <x:c r="D5" s="18" t="str">
        <x:v>2016 Superficie quemada (ha)</x:v>
      </x:c>
      <x:c r="E5" s="18" t="str">
        <x:v>2016 % AP quemado</x:v>
      </x:c>
      <x:c r="F5" s="18" t="str">
        <x:v>2017 Superficie quemada (ha)</x:v>
      </x:c>
      <x:c r="G5" s="18" t="str">
        <x:v>2017 % AP quemado</x:v>
      </x:c>
      <x:c r="H5" s="18" t="str">
        <x:v>2018 Superficie quemada (ha)</x:v>
      </x:c>
      <x:c r="I5" s="18" t="str">
        <x:v>2018 % AP quemado</x:v>
      </x:c>
      <x:c r="J5" s="18" t="str">
        <x:v>2019 Superficie quemada (ha)</x:v>
      </x:c>
      <x:c r="K5" s="18" t="str">
        <x:v>2019 % AP quemado</x:v>
      </x:c>
      <x:c r="L5" s="18" t="str">
        <x:v>2020 Superficie quemada (ha)</x:v>
      </x:c>
      <x:c r="M5" s="18" t="str">
        <x:v>2020 % AP quemado</x:v>
      </x:c>
      <x:c r="N5" s="18" t="str">
        <x:v>2021 Superficie quemada (ha)</x:v>
      </x:c>
      <x:c r="O5" s="18" t="str">
        <x:v>2021 % AP quemado</x:v>
      </x:c>
      <x:c r="P5" s="18" t="str">
        <x:v>2022 Superficie quemada (ha)</x:v>
      </x:c>
      <x:c r="Q5" s="18" t="str">
        <x:v>2022 % AP quemado</x:v>
      </x:c>
      <x:c r="R5" s="18" t="str">
        <x:v>2023 Superficie quemada (ha)</x:v>
      </x:c>
      <x:c r="S5" s="18" t="str">
        <x:v>2023 % AP quemado</x:v>
      </x:c>
    </x:row>
    <x:row r="6">
      <x:c r="A6" s="22" t="n">
        <x:v>1</x:v>
      </x:c>
      <x:c r="B6" s="12" t="str">
        <x:v>Ñembi Guasu</x:v>
      </x:c>
      <x:c r="C6" s="20" t="n">
        <x:v>1126148.9054729706</x:v>
      </x:c>
      <x:c r="D6" s="20" t="n">
        <x:v>2851.5031903429085</x:v>
      </x:c>
      <x:c r="E6" s="21" t="n">
        <x:f>D6/$C6</x:f>
        <x:v>0.0025320836138852413</x:v>
      </x:c>
      <x:c r="F6" s="20" t="n">
        <x:v>1742.300019334378</x:v>
      </x:c>
      <x:c r="G6" s="21" t="n">
        <x:f>F6/$C6</x:f>
        <x:v>0.0015471311217077732</x:v>
      </x:c>
      <x:c r="H6" s="20" t="n">
        <x:v>14484.73921753018</x:v>
      </x:c>
      <x:c r="I6" s="21" t="n">
        <x:f>H6/$C6</x:f>
        <x:v>0.012862188248051213</x:v>
      </x:c>
      <x:c r="J6" s="20" t="n">
        <x:v>333622.70351886906</x:v>
      </x:c>
      <x:c r="K6" s="21" t="n">
        <x:f>J6/$C6</x:f>
        <x:v>0.2962509681423977</x:v>
      </x:c>
      <x:c r="L6" s="20" t="n">
        <x:v>1324.01096825266</x:v>
      </x:c>
      <x:c r="M6" s="21" t="n">
        <x:f>L6/$C6</x:f>
        <x:v>0.001175697957719534</x:v>
      </x:c>
      <x:c r="N6" s="20" t="n">
        <x:v>186240.46253266386</x:v>
      </x:c>
      <x:c r="O6" s="21" t="n">
        <x:f>N6/$C6</x:f>
        <x:v>0.1653781854491479</x:v>
      </x:c>
      <x:c r="P6" s="20" t="n">
        <x:v>1192.4285841351298</x:v>
      </x:c>
      <x:c r="Q6" s="21" t="n">
        <x:f>P6/$C6</x:f>
        <x:v>0.0010588551641262062</x:v>
      </x:c>
      <x:c r="R6" s="20" t="n">
        <x:v>217.1900099427693</x:v>
      </x:c>
      <x:c r="S6" s="21" t="n">
        <x:f>R6/$C6</x:f>
        <x:v>0.00019286082762878662</x:v>
      </x:c>
    </x:row>
    <x:row r="7">
      <x:c r="A7" s="22" t="n">
        <x:v>2</x:v>
      </x:c>
      <x:c r="B7" s="12" t="str">
        <x:v>Guajukaka</x:v>
      </x:c>
      <x:c r="C7" s="20" t="n">
        <x:v>285677.4018249571</x:v>
      </x:c>
      <x:c r="D7" s="20" t="n">
        <x:v>0</x:v>
      </x:c>
      <x:c r="E7" s="21" t="n">
        <x:f>D7/$C7</x:f>
        <x:v>0</x:v>
      </x:c>
      <x:c r="F7" s="20" t="n">
        <x:v>60.885961820645456</x:v>
      </x:c>
      <x:c r="G7" s="21" t="n">
        <x:f>F7/$C7</x:f>
        <x:v>0.0002131283798847767</x:v>
      </x:c>
      <x:c r="H7" s="20" t="n">
        <x:v>0</x:v>
      </x:c>
      <x:c r="I7" s="21" t="n">
        <x:f>H7/$C7</x:f>
        <x:v>0</x:v>
      </x:c>
      <x:c r="J7" s="20" t="n">
        <x:v>0</x:v>
      </x:c>
      <x:c r="K7" s="21" t="n">
        <x:f>J7/$C7</x:f>
        <x:v>0</x:v>
      </x:c>
      <x:c r="L7" s="20" t="n">
        <x:v>0</x:v>
      </x:c>
      <x:c r="M7" s="21" t="n">
        <x:f>L7/$C7</x:f>
        <x:v>0</x:v>
      </x:c>
      <x:c r="N7" s="20" t="n">
        <x:v>0</x:v>
      </x:c>
      <x:c r="O7" s="21" t="n">
        <x:f>N7/$C7</x:f>
        <x:v>0</x:v>
      </x:c>
      <x:c r="P7" s="20" t="n">
        <x:v>40.819879314728446</x:v>
      </x:c>
      <x:c r="Q7" s="21" t="n">
        <x:f>P7/$C7</x:f>
        <x:v>0.00014288802353271184</x:v>
      </x:c>
      <x:c r="R7" s="20" t="n">
        <x:v>0</x:v>
      </x:c>
      <x:c r="S7" s="21" t="n">
        <x:f>R7/$C7</x:f>
        <x:v>0</x:v>
      </x:c>
    </x:row>
    <x:row r="8">
      <x:c r="A8" s="22" t="n">
        <x:v>3</x:v>
      </x:c>
      <x:c r="B8" s="12" t="str">
        <x:v>Serranía Irenda</x:v>
      </x:c>
      <x:c r="C8" s="20" t="n">
        <x:v>143083.1327772033</x:v>
      </x:c>
      <x:c r="D8" s="20" t="n">
        <x:v>281.02997654302175</x:v>
      </x:c>
      <x:c r="E8" s="21" t="n">
        <x:f>D8/$C8</x:f>
        <x:v>0.0019641027638150565</x:v>
      </x:c>
      <x:c r="F8" s="20" t="n">
        <x:v>141.63788637615713</x:v>
      </x:c>
      <x:c r="G8" s="21" t="n">
        <x:f>F8/$C8</x:f>
        <x:v>0.0009898992538603653</x:v>
      </x:c>
      <x:c r="H8" s="20" t="n">
        <x:v>0</x:v>
      </x:c>
      <x:c r="I8" s="21" t="n">
        <x:f>H8/$C8</x:f>
        <x:v>0</x:v>
      </x:c>
      <x:c r="J8" s="20" t="n">
        <x:v>0</x:v>
      </x:c>
      <x:c r="K8" s="21" t="n">
        <x:f>J8/$C8</x:f>
        <x:v>0</x:v>
      </x:c>
      <x:c r="L8" s="20" t="n">
        <x:v>613.6802532875439</x:v>
      </x:c>
      <x:c r="M8" s="21" t="n">
        <x:f>L8/$C8</x:f>
        <x:v>0.004288976914162998</x:v>
      </x:c>
      <x:c r="N8" s="20" t="n">
        <x:v>2.9022244757889872</x:v>
      </x:c>
      <x:c r="O8" s="21" t="n">
        <x:f>N8/$C8</x:f>
        <x:v>0.000020283484289570877</x:v>
      </x:c>
      <x:c r="P8" s="20" t="n">
        <x:v>236.15931090463488</x:v>
      </x:c>
      <x:c r="Q8" s="21" t="n">
        <x:f>P8/$C8</x:f>
        <x:v>0.001650504195154587</x:v>
      </x:c>
      <x:c r="R8" s="20" t="n">
        <x:v>14.370942957045516</x:v>
      </x:c>
      <x:c r="S8" s="21" t="n">
        <x:f>R8/$C8</x:f>
        <x:v>0.00010043771532052424</x:v>
      </x:c>
    </x:row>
    <x:row r="9">
      <x:c r="A9" s="22" t="n">
        <x:v>4</x:v>
      </x:c>
      <x:c r="B9" s="12" t="str">
        <x:v>Yande Yari</x:v>
      </x:c>
      <x:c r="C9" s="20" t="n">
        <x:v>562911.9994412911</x:v>
      </x:c>
      <x:c r="D9" s="20" t="n">
        <x:v>286.2798699741958</x:v>
      </x:c>
      <x:c r="E9" s="21" t="n">
        <x:f>D9/$C9</x:f>
        <x:v>0.0005085694926708582</x:v>
      </x:c>
      <x:c r="F9" s="20" t="n">
        <x:v>225.8056221953915</x:v>
      </x:c>
      <x:c r="G9" s="21" t="n">
        <x:f>F9/$C9</x:f>
        <x:v>0.0004011384060377308</x:v>
      </x:c>
      <x:c r="H9" s="20" t="n">
        <x:v>69.68205768551533</x:v>
      </x:c>
      <x:c r="I9" s="21" t="n">
        <x:f>H9/$C9</x:f>
        <x:v>0.000123788545553616</x:v>
      </x:c>
      <x:c r="J9" s="20" t="n">
        <x:v>0</x:v>
      </x:c>
      <x:c r="K9" s="21" t="n">
        <x:f>J9/$C9</x:f>
        <x:v>0</x:v>
      </x:c>
      <x:c r="L9" s="20" t="n">
        <x:v>562.1929084055681</x:v>
      </x:c>
      <x:c r="M9" s="21" t="n">
        <x:f>L9/$C9</x:f>
        <x:v>0.0009987225515952108</x:v>
      </x:c>
      <x:c r="N9" s="20" t="n">
        <x:v>123.53688899444957</x:v>
      </x:c>
      <x:c r="O9" s="21" t="n">
        <x:f>N9/$C9</x:f>
        <x:v>0.00021946039366200053</x:v>
      </x:c>
      <x:c r="P9" s="20" t="n">
        <x:v>1228.7241061929271</x:v>
      </x:c>
      <x:c r="Q9" s="21" t="n">
        <x:f>P9/$C9</x:f>
        <x:v>0.0021827996337126883</x:v>
      </x:c>
      <x:c r="R9" s="20" t="n">
        <x:v>277.02663236860707</x:v>
      </x:c>
      <x:c r="S9" s="21" t="n">
        <x:f>R9/$C9</x:f>
        <x:v>0.0004921313325059072</x:v>
      </x:c>
    </x:row>
    <x:row r="10">
      <x:c r="A10" s="22" t="n">
        <x:v>5</x:v>
      </x:c>
      <x:c r="B10" s="12" t="str">
        <x:v>Sajama</x:v>
      </x:c>
      <x:c r="C10" s="20" t="n">
        <x:v>95015.57310110018</x:v>
      </x:c>
      <x:c r="D10" s="20" t="n">
        <x:v>4.0062680978420975</x:v>
      </x:c>
      <x:c r="E10" s="21" t="n">
        <x:f>D10/$C10</x:f>
        <x:v>0.00004216433124682915</x:v>
      </x:c>
      <x:c r="F10" s="20" t="n">
        <x:v>0</x:v>
      </x:c>
      <x:c r="G10" s="21" t="n">
        <x:f>F10/$C10</x:f>
        <x:v>0</x:v>
      </x:c>
      <x:c r="H10" s="20" t="n">
        <x:v>0</x:v>
      </x:c>
      <x:c r="I10" s="21" t="n">
        <x:f>H10/$C10</x:f>
        <x:v>0</x:v>
      </x:c>
      <x:c r="J10" s="20" t="n">
        <x:v>0</x:v>
      </x:c>
      <x:c r="K10" s="21" t="n">
        <x:f>J10/$C10</x:f>
        <x:v>0</x:v>
      </x:c>
      <x:c r="L10" s="20" t="n">
        <x:v>0</x:v>
      </x:c>
      <x:c r="M10" s="21" t="n">
        <x:f>L10/$C10</x:f>
        <x:v>0</x:v>
      </x:c>
      <x:c r="N10" s="20" t="n">
        <x:v>0</x:v>
      </x:c>
      <x:c r="O10" s="21" t="n">
        <x:f>N10/$C10</x:f>
        <x:v>0</x:v>
      </x:c>
      <x:c r="P10" s="20" t="n">
        <x:v>0</x:v>
      </x:c>
      <x:c r="Q10" s="21" t="n">
        <x:f>P10/$C10</x:f>
        <x:v>0</x:v>
      </x:c>
      <x:c r="R10" s="20" t="n">
        <x:v>0</x:v>
      </x:c>
      <x:c r="S10" s="21" t="n">
        <x:f>R10/$C10</x:f>
        <x:v>0</x:v>
      </x:c>
    </x:row>
    <x:row r="11">
      <x:c r="A11" s="22" t="n">
        <x:v>6</x:v>
      </x:c>
      <x:c r="B11" s="12" t="str">
        <x:v>Tunari</x:v>
      </x:c>
      <x:c r="C11" s="20" t="n">
        <x:v>328100.45624624024</x:v>
      </x:c>
      <x:c r="D11" s="20" t="n">
        <x:v>18512.07008343447</x:v>
      </x:c>
      <x:c r="E11" s="21" t="n">
        <x:f>D11/$C11</x:f>
        <x:v>0.05642195776022059</x:v>
      </x:c>
      <x:c r="F11" s="20" t="n">
        <x:v>0</x:v>
      </x:c>
      <x:c r="G11" s="21" t="n">
        <x:f>F11/$C11</x:f>
        <x:v>0</x:v>
      </x:c>
      <x:c r="H11" s="20" t="n">
        <x:v>0</x:v>
      </x:c>
      <x:c r="I11" s="21" t="n">
        <x:f>H11/$C11</x:f>
        <x:v>0</x:v>
      </x:c>
      <x:c r="J11" s="20" t="n">
        <x:v>1913.918240647892</x:v>
      </x:c>
      <x:c r="K11" s="21" t="n">
        <x:f>J11/$C11</x:f>
        <x:v>0.0058333300189363085</x:v>
      </x:c>
      <x:c r="L11" s="20" t="n">
        <x:v>8698.970646673006</x:v>
      </x:c>
      <x:c r="M11" s="21" t="n">
        <x:f>L11/$C11</x:f>
        <x:v>0.026513131820043574</x:v>
      </x:c>
      <x:c r="N11" s="20" t="n">
        <x:v>4127.4995294898135</x:v>
      </x:c>
      <x:c r="O11" s="21" t="n">
        <x:f>N11/$C11</x:f>
        <x:v>0.012579987168296147</x:v>
      </x:c>
      <x:c r="P11" s="20" t="n">
        <x:v>6466.823483066038</x:v>
      </x:c>
      <x:c r="Q11" s="21" t="n">
        <x:f>P11/$C11</x:f>
        <x:v>0.019709888724484644</x:v>
      </x:c>
      <x:c r="R11" s="20" t="n">
        <x:v>3106.303996174216</x:v>
      </x:c>
      <x:c r="S11" s="21" t="n">
        <x:f>R11/$C11</x:f>
        <x:v>0.009467539398491195</x:v>
      </x:c>
    </x:row>
    <x:row r="12">
      <x:c r="A12" s="22" t="n">
        <x:v>7</x:v>
      </x:c>
      <x:c r="B12" s="12" t="str">
        <x:v>Isiboro Securé</x:v>
      </x:c>
      <x:c r="C12" s="20" t="n">
        <x:v>1300853.3745409646</x:v>
      </x:c>
      <x:c r="D12" s="20" t="n">
        <x:v>65973.01594813747</x:v>
      </x:c>
      <x:c r="E12" s="21" t="n">
        <x:f>D12/$C12</x:f>
        <x:v>0.05071518223290733</x:v>
      </x:c>
      <x:c r="F12" s="20" t="n">
        <x:v>21607.28946651679</x:v>
      </x:c>
      <x:c r="G12" s="21" t="n">
        <x:f>F12/$C12</x:f>
        <x:v>0.016610088338465823</x:v>
      </x:c>
      <x:c r="H12" s="20" t="n">
        <x:v>39874.62452532646</x:v>
      </x:c>
      <x:c r="I12" s="21" t="n">
        <x:f>H12/$C12</x:f>
        <x:v>0.030652666400159907</x:v>
      </x:c>
      <x:c r="J12" s="20" t="n">
        <x:v>38195.16656523981</x:v>
      </x:c>
      <x:c r="K12" s="21" t="n">
        <x:f>J12/$C12</x:f>
        <x:v>0.029361623156581987</x:v>
      </x:c>
      <x:c r="L12" s="20" t="n">
        <x:v>28419.671906993186</x:v>
      </x:c>
      <x:c r="M12" s="21" t="n">
        <x:f>L12/$C12</x:f>
        <x:v>0.02184694483113572</x:v>
      </x:c>
      <x:c r="N12" s="20" t="n">
        <x:v>15707.805893053872</x:v>
      </x:c>
      <x:c r="O12" s="21" t="n">
        <x:f>N12/$C12</x:f>
        <x:v>0.012075001072735599</x:v>
      </x:c>
      <x:c r="P12" s="20" t="n">
        <x:v>40302.075507799156</x:v>
      </x:c>
      <x:c r="Q12" s="21" t="n">
        <x:f>P12/$C12</x:f>
        <x:v>0.030981259146151387</x:v>
      </x:c>
      <x:c r="R12" s="20" t="n">
        <x:v>232110.99081809077</x:v>
      </x:c>
      <x:c r="S12" s="21" t="n">
        <x:f>R12/$C12</x:f>
        <x:v>0.1784297872156394</x:v>
      </x:c>
    </x:row>
    <x:row r="13">
      <x:c r="A13" s="22" t="n">
        <x:v>8</x:v>
      </x:c>
      <x:c r="B13" s="12" t="str">
        <x:v>Apolobamba</x:v>
      </x:c>
      <x:c r="C13" s="20" t="n">
        <x:v>474322.9308602891</x:v>
      </x:c>
      <x:c r="D13" s="20" t="n">
        <x:v>9493.181875040946</x:v>
      </x:c>
      <x:c r="E13" s="21" t="n">
        <x:f>D13/$C13</x:f>
        <x:v>0.020014174431379417</x:v>
      </x:c>
      <x:c r="F13" s="20" t="n">
        <x:v>0</x:v>
      </x:c>
      <x:c r="G13" s="21" t="n">
        <x:f>F13/$C13</x:f>
        <x:v>0</x:v>
      </x:c>
      <x:c r="H13" s="20" t="n">
        <x:v>597.0625318275572</x:v>
      </x:c>
      <x:c r="I13" s="21" t="n">
        <x:f>H13/$C13</x:f>
        <x:v>0.0012587680101079086</x:v>
      </x:c>
      <x:c r="J13" s="20" t="n">
        <x:v>585.9171950990924</x:v>
      </x:c>
      <x:c r="K13" s="21" t="n">
        <x:f>J13/$C13</x:f>
        <x:v>0.001235270649969215</x:v>
      </x:c>
      <x:c r="L13" s="20" t="n">
        <x:v>1177.0296259275133</x:v>
      </x:c>
      <x:c r="M13" s="21" t="n">
        <x:f>L13/$C13</x:f>
        <x:v>0.0024814942507475042</x:v>
      </x:c>
      <x:c r="N13" s="20" t="n">
        <x:v>703.0790888940218</x:v>
      </x:c>
      <x:c r="O13" s="21" t="n">
        <x:f>N13/$C13</x:f>
        <x:v>0.001482279356848367</x:v>
      </x:c>
      <x:c r="P13" s="20" t="n">
        <x:v>4136.404940899927</x:v>
      </x:c>
      <x:c r="Q13" s="21" t="n">
        <x:f>P13/$C13</x:f>
        <x:v>0.008720651420747561</x:v>
      </x:c>
      <x:c r="R13" s="20" t="n">
        <x:v>4599.612227353234</x:v>
      </x:c>
      <x:c r="S13" s="21" t="n">
        <x:f>R13/$C13</x:f>
        <x:v>0.009697216659989058</x:v>
      </x:c>
    </x:row>
    <x:row r="14">
      <x:c r="A14" s="22" t="n">
        <x:v>9</x:v>
      </x:c>
      <x:c r="B14" s="12" t="str">
        <x:v>Eduardo Avaroa</x:v>
      </x:c>
      <x:c r="C14" s="20" t="n">
        <x:v>685547.7103409235</x:v>
      </x:c>
      <x:c r="D14" s="20" t="n">
        <x:v>0</x:v>
      </x:c>
      <x:c r="E14" s="21" t="n">
        <x:f>D14/$C14</x:f>
        <x:v>0</x:v>
      </x:c>
      <x:c r="F14" s="20" t="n">
        <x:v>0</x:v>
      </x:c>
      <x:c r="G14" s="21" t="n">
        <x:f>F14/$C14</x:f>
        <x:v>0</x:v>
      </x:c>
      <x:c r="H14" s="20" t="n">
        <x:v>0</x:v>
      </x:c>
      <x:c r="I14" s="21" t="n">
        <x:f>H14/$C14</x:f>
        <x:v>0</x:v>
      </x:c>
      <x:c r="J14" s="20" t="n">
        <x:v>0</x:v>
      </x:c>
      <x:c r="K14" s="21" t="n">
        <x:f>J14/$C14</x:f>
        <x:v>0</x:v>
      </x:c>
      <x:c r="L14" s="20" t="n">
        <x:v>0</x:v>
      </x:c>
      <x:c r="M14" s="21" t="n">
        <x:f>L14/$C14</x:f>
        <x:v>0</x:v>
      </x:c>
      <x:c r="N14" s="20" t="n">
        <x:v>0</x:v>
      </x:c>
      <x:c r="O14" s="21" t="n">
        <x:f>N14/$C14</x:f>
        <x:v>0</x:v>
      </x:c>
      <x:c r="P14" s="20" t="n">
        <x:v>0</x:v>
      </x:c>
      <x:c r="Q14" s="21" t="n">
        <x:f>P14/$C14</x:f>
        <x:v>0</x:v>
      </x:c>
      <x:c r="R14" s="20" t="n">
        <x:v>0</x:v>
      </x:c>
      <x:c r="S14" s="21" t="n">
        <x:f>R14/$C14</x:f>
        <x:v>0</x:v>
      </x:c>
    </x:row>
    <x:row r="15">
      <x:c r="A15" s="22" t="n">
        <x:v>10</x:v>
      </x:c>
      <x:c r="B15" s="12" t="str">
        <x:v>Manuripi</x:v>
      </x:c>
      <x:c r="C15" s="20" t="n">
        <x:v>746510.7636364193</x:v>
      </x:c>
      <x:c r="D15" s="20" t="n">
        <x:v>379.94955464804826</x:v>
      </x:c>
      <x:c r="E15" s="21" t="n">
        <x:f>D15/$C15</x:f>
        <x:v>0.0005089672823968804</x:v>
      </x:c>
      <x:c r="F15" s="20" t="n">
        <x:v>68.07045032780591</x:v>
      </x:c>
      <x:c r="G15" s="21" t="n">
        <x:f>F15/$C15</x:f>
        <x:v>0.00009118482096121383</x:v>
      </x:c>
      <x:c r="H15" s="20" t="n">
        <x:v>0</x:v>
      </x:c>
      <x:c r="I15" s="21" t="n">
        <x:f>H15/$C15</x:f>
        <x:v>0</x:v>
      </x:c>
      <x:c r="J15" s="20" t="n">
        <x:v>163.56986316941533</x:v>
      </x:c>
      <x:c r="K15" s="21" t="n">
        <x:f>J15/$C15</x:f>
        <x:v>0.00021911253144245408</x:v>
      </x:c>
      <x:c r="L15" s="20" t="n">
        <x:v>233.25375242005038</x:v>
      </x:c>
      <x:c r="M15" s="21" t="n">
        <x:f>L15/$C15</x:f>
        <x:v>0.0003124586593819755</x:v>
      </x:c>
      <x:c r="N15" s="20" t="n">
        <x:v>156.92235531058375</x:v>
      </x:c>
      <x:c r="O15" s="21" t="n">
        <x:f>N15/$C15</x:f>
        <x:v>0.00021020775982677088</x:v>
      </x:c>
      <x:c r="P15" s="20" t="n">
        <x:v>338.5170746365503</x:v>
      </x:c>
      <x:c r="Q15" s="21" t="n">
        <x:f>P15/$C15</x:f>
        <x:v>0.00045346576516533887</x:v>
      </x:c>
      <x:c r="R15" s="20" t="n">
        <x:v>2186.471726969739</x:v>
      </x:c>
      <x:c r="S15" s="21" t="n">
        <x:f>R15/$C15</x:f>
        <x:v>0.0029289219037096676</x:v>
      </x:c>
    </x:row>
    <x:row r="16">
      <x:c r="A16" s="22" t="n">
        <x:v>11</x:v>
      </x:c>
      <x:c r="B16" s="12" t="str">
        <x:v>Noel Kempff Mercado</x:v>
      </x:c>
      <x:c r="C16" s="20" t="n">
        <x:v>1587666.528229044</x:v>
      </x:c>
      <x:c r="D16" s="20" t="n">
        <x:v>60816.32128581091</x:v>
      </x:c>
      <x:c r="E16" s="21" t="n">
        <x:f>D16/$C16</x:f>
        <x:v>0.03830547549153677</x:v>
      </x:c>
      <x:c r="F16" s="20" t="n">
        <x:v>2936.628769232875</x:v>
      </x:c>
      <x:c r="G16" s="21" t="n">
        <x:f>F16/$C16</x:f>
        <x:v>0.0018496508662360764</x:v>
      </x:c>
      <x:c r="H16" s="20" t="n">
        <x:v>38251.22087363328</x:v>
      </x:c>
      <x:c r="I16" s="21" t="n">
        <x:f>H16/$C16</x:f>
        <x:v>0.024092729923770862</x:v>
      </x:c>
      <x:c r="J16" s="20" t="n">
        <x:v>10.65347206870193</x:v>
      </x:c>
      <x:c r="K16" s="21" t="n">
        <x:f>J16/$C16</x:f>
        <x:v>0.0000067101446552414885</x:v>
      </x:c>
      <x:c r="L16" s="20" t="n">
        <x:v>202308.00768546382</x:v>
      </x:c>
      <x:c r="M16" s="21" t="n">
        <x:f>L16/$C16</x:f>
        <x:v>0.12742474826318057</x:v>
      </x:c>
      <x:c r="N16" s="20" t="n">
        <x:v>24156.84389569249</x:v>
      </x:c>
      <x:c r="O16" s="21" t="n">
        <x:f>N16/$C16</x:f>
        <x:v>0.015215313459204901</x:v>
      </x:c>
      <x:c r="P16" s="20" t="n">
        <x:v>213943.31174969746</x:v>
      </x:c>
      <x:c r="Q16" s="21" t="n">
        <x:f>P16/$C16</x:f>
        <x:v>0.1347533048947877</x:v>
      </x:c>
      <x:c r="R16" s="20" t="n">
        <x:v>47249.5103481454</x:v>
      </x:c>
      <x:c r="S16" s="21" t="n">
        <x:f>R16/$C16</x:f>
        <x:v>0.029760349234577405</x:v>
      </x:c>
    </x:row>
    <x:row r="17">
      <x:c r="A17" s="22" t="n">
        <x:v>12</x:v>
      </x:c>
      <x:c r="B17" s="12" t="str">
        <x:v>Estación Biológica del Beni</x:v>
      </x:c>
      <x:c r="C17" s="20" t="n">
        <x:v>134841.26533536764</x:v>
      </x:c>
      <x:c r="D17" s="20" t="n">
        <x:v>2266.276759932811</x:v>
      </x:c>
      <x:c r="E17" s="21" t="n">
        <x:f>D17/$C17</x:f>
        <x:v>0.016806997133231343</x:v>
      </x:c>
      <x:c r="F17" s="20" t="n">
        <x:v>810.3734433124572</x:v>
      </x:c>
      <x:c r="G17" s="21" t="n">
        <x:f>F17/$C17</x:f>
        <x:v>0.006009832682131496</x:v>
      </x:c>
      <x:c r="H17" s="20" t="n">
        <x:v>1936.79473366725</x:v>
      </x:c>
      <x:c r="I17" s="21" t="n">
        <x:f>H17/$C17</x:f>
        <x:v>0.014363516456554983</x:v>
      </x:c>
      <x:c r="J17" s="20" t="n">
        <x:v>2276.729166172094</x:v>
      </x:c>
      <x:c r="K17" s="21" t="n">
        <x:f>J17/$C17</x:f>
        <x:v>0.0168845135093443</x:v>
      </x:c>
      <x:c r="L17" s="20" t="n">
        <x:v>647.6787163465311</x:v>
      </x:c>
      <x:c r="M17" s="21" t="n">
        <x:f>L17/$C17</x:f>
        <x:v>0.004803267862665561</x:v>
      </x:c>
      <x:c r="N17" s="20" t="n">
        <x:v>252.1224901510912</x:v>
      </x:c>
      <x:c r="O17" s="21" t="n">
        <x:f>N17/$C17</x:f>
        <x:v>0.0018697725026832848</x:v>
      </x:c>
      <x:c r="P17" s="20" t="n">
        <x:v>2834.4623030657867</x:v>
      </x:c>
      <x:c r="Q17" s="21" t="n">
        <x:f>P17/$C17</x:f>
        <x:v>0.02102073349739127</x:v>
      </x:c>
      <x:c r="R17" s="20" t="n">
        <x:v>18062.104446213478</x:v>
      </x:c>
      <x:c r="S17" s="21" t="n">
        <x:f>R17/$C17</x:f>
        <x:v>0.13395086734977377</x:v>
      </x:c>
    </x:row>
    <x:row r="18">
      <x:c r="A18" s="22" t="n">
        <x:v>13</x:v>
      </x:c>
      <x:c r="B18" s="12" t="str">
        <x:v>Amboró</x:v>
      </x:c>
      <x:c r="C18" s="20" t="n">
        <x:v>620725.1102431406</x:v>
      </x:c>
      <x:c r="D18" s="20" t="n">
        <x:v>5173.270094173403</x:v>
      </x:c>
      <x:c r="E18" s="21" t="n">
        <x:f>D18/$C18</x:f>
        <x:v>0.008334236860736971</x:v>
      </x:c>
      <x:c r="F18" s="20" t="n">
        <x:v>1966.2490632674833</x:v>
      </x:c>
      <x:c r="G18" s="21" t="n">
        <x:f>F18/$C18</x:f>
        <x:v>0.0031676647695101224</x:v>
      </x:c>
      <x:c r="H18" s="20" t="n">
        <x:v>426.0939364658023</x:v>
      </x:c>
      <x:c r="I18" s="21" t="n">
        <x:f>H18/$C18</x:f>
        <x:v>0.0006864454642392339</x:v>
      </x:c>
      <x:c r="J18" s="20" t="n">
        <x:v>0</x:v>
      </x:c>
      <x:c r="K18" s="21" t="n">
        <x:f>J18/$C18</x:f>
        <x:v>0</x:v>
      </x:c>
      <x:c r="L18" s="20" t="n">
        <x:v>165.43956942384455</x:v>
      </x:c>
      <x:c r="M18" s="21" t="n">
        <x:f>L18/$C18</x:f>
        <x:v>0.0002665263039850944</x:v>
      </x:c>
      <x:c r="N18" s="20" t="n">
        <x:v>820.2516967370594</x:v>
      </x:c>
      <x:c r="O18" s="21" t="n">
        <x:f>N18/$C18</x:f>
        <x:v>0.0013214411390829082</x:v>
      </x:c>
      <x:c r="P18" s="20" t="n">
        <x:v>7752.145925890933</x:v>
      </x:c>
      <x:c r="Q18" s="21" t="n">
        <x:f>P18/$C18</x:f>
        <x:v>0.012488855047050352</x:v>
      </x:c>
      <x:c r="R18" s="20" t="n">
        <x:v>5092.712582482204</x:v>
      </x:c>
      <x:c r="S18" s="21" t="n">
        <x:f>R18/$C18</x:f>
        <x:v>0.008204457171850785</x:v>
      </x:c>
    </x:row>
    <x:row r="19">
      <x:c r="A19" s="22" t="n">
        <x:v>14</x:v>
      </x:c>
      <x:c r="B19" s="12" t="str">
        <x:v>Toro Toro</x:v>
      </x:c>
      <x:c r="C19" s="20" t="n">
        <x:v>16803.263066488827</x:v>
      </x:c>
      <x:c r="D19" s="20" t="n">
        <x:v>4.377939250463282</x:v>
      </x:c>
      <x:c r="E19" s="21" t="n">
        <x:f>D19/$C19</x:f>
        <x:v>0.00026054101713103074</x:v>
      </x:c>
      <x:c r="F19" s="20" t="n">
        <x:v>0</x:v>
      </x:c>
      <x:c r="G19" s="21" t="n">
        <x:f>F19/$C19</x:f>
        <x:v>0</x:v>
      </x:c>
      <x:c r="H19" s="20" t="n">
        <x:v>0</x:v>
      </x:c>
      <x:c r="I19" s="21" t="n">
        <x:f>H19/$C19</x:f>
        <x:v>0</x:v>
      </x:c>
      <x:c r="J19" s="20" t="n">
        <x:v>0</x:v>
      </x:c>
      <x:c r="K19" s="21" t="n">
        <x:f>J19/$C19</x:f>
        <x:v>0</x:v>
      </x:c>
      <x:c r="L19" s="20" t="n">
        <x:v>0</x:v>
      </x:c>
      <x:c r="M19" s="21" t="n">
        <x:f>L19/$C19</x:f>
        <x:v>0</x:v>
      </x:c>
      <x:c r="N19" s="20" t="n">
        <x:v>69.19491427193401</x:v>
      </x:c>
      <x:c r="O19" s="21" t="n">
        <x:f>N19/$C19</x:f>
        <x:v>0.0041179450680583094</x:v>
      </x:c>
      <x:c r="P19" s="20" t="n">
        <x:v>0</x:v>
      </x:c>
      <x:c r="Q19" s="21" t="n">
        <x:f>P19/$C19</x:f>
        <x:v>0</x:v>
      </x:c>
      <x:c r="R19" s="20" t="n">
        <x:v>0</x:v>
      </x:c>
      <x:c r="S19" s="21" t="n">
        <x:f>R19/$C19</x:f>
        <x:v>0</x:v>
      </x:c>
    </x:row>
    <x:row r="20">
      <x:c r="A20" s="22" t="n">
        <x:v>15</x:v>
      </x:c>
      <x:c r="B20" s="12" t="str">
        <x:v>Tariquía</x:v>
      </x:c>
      <x:c r="C20" s="20" t="n">
        <x:v>247337.55535328225</x:v>
      </x:c>
      <x:c r="D20" s="20" t="n">
        <x:v>713.34626868198</x:v>
      </x:c>
      <x:c r="E20" s="21" t="n">
        <x:f>D20/$C20</x:f>
        <x:v>0.0028841001022391387</x:v>
      </x:c>
      <x:c r="F20" s="20" t="n">
        <x:v>768.856315048523</x:v>
      </x:c>
      <x:c r="G20" s="21" t="n">
        <x:f>F20/$C20</x:f>
        <x:v>0.0031085304209073077</x:v>
      </x:c>
      <x:c r="H20" s="20" t="n">
        <x:v>1.7284991446811775</x:v>
      </x:c>
      <x:c r="I20" s="21" t="n">
        <x:f>H20/$C20</x:f>
        <x:v>0.000006988421722743609</x:v>
      </x:c>
      <x:c r="J20" s="20" t="n">
        <x:v>471.8263744103033</x:v>
      </x:c>
      <x:c r="K20" s="21" t="n">
        <x:f>J20/$C20</x:f>
        <x:v>0.001907621241490701</x:v>
      </x:c>
      <x:c r="L20" s="20" t="n">
        <x:v>0</x:v>
      </x:c>
      <x:c r="M20" s="21" t="n">
        <x:f>L20/$C20</x:f>
        <x:v>0</x:v>
      </x:c>
      <x:c r="N20" s="20" t="n">
        <x:v>366.22953409676927</x:v>
      </x:c>
      <x:c r="O20" s="21" t="n">
        <x:f>N20/$C20</x:f>
        <x:v>0.0014806871264400944</x:v>
      </x:c>
      <x:c r="P20" s="20" t="n">
        <x:v>5383.7404593162855</x:v>
      </x:c>
      <x:c r="Q20" s="21" t="n">
        <x:f>P20/$C20</x:f>
        <x:v>0.02176677315188335</x:v>
      </x:c>
      <x:c r="R20" s="20" t="n">
        <x:v>215.3016395864917</x:v>
      </x:c>
      <x:c r="S20" s="21" t="n">
        <x:f>R20/$C20</x:f>
        <x:v>0.0008704769450760021</x:v>
      </x:c>
    </x:row>
    <x:row r="21">
      <x:c r="A21" s="22" t="n">
        <x:v>16</x:v>
      </x:c>
      <x:c r="B21" s="12" t="str">
        <x:v>Cordillera de Sama</x:v>
      </x:c>
      <x:c r="C21" s="20" t="n">
        <x:v>118588.07166351897</x:v>
      </x:c>
      <x:c r="D21" s="20" t="n">
        <x:v>48.05743243802671</x:v>
      </x:c>
      <x:c r="E21" s="21" t="n">
        <x:f>D21/$C21</x:f>
        <x:v>0.00040524676524283617</x:v>
      </x:c>
      <x:c r="F21" s="20" t="n">
        <x:v>11325.495309179818</x:v>
      </x:c>
      <x:c r="G21" s="21" t="n">
        <x:f>F21/$C21</x:f>
        <x:v>0.09550282039592232</x:v>
      </x:c>
      <x:c r="H21" s="20" t="n">
        <x:v>736.0521131092452</x:v>
      </x:c>
      <x:c r="I21" s="21" t="n">
        <x:f>H21/$C21</x:f>
        <x:v>0.006206797216483245</x:v>
      </x:c>
      <x:c r="J21" s="20" t="n">
        <x:v>863.7088664293007</x:v>
      </x:c>
      <x:c r="K21" s="21" t="n">
        <x:f>J21/$C21</x:f>
        <x:v>0.007283269339938191</x:v>
      </x:c>
      <x:c r="L21" s="20" t="n">
        <x:v>0</x:v>
      </x:c>
      <x:c r="M21" s="21" t="n">
        <x:f>L21/$C21</x:f>
        <x:v>0</x:v>
      </x:c>
      <x:c r="N21" s="20" t="n">
        <x:v>0</x:v>
      </x:c>
      <x:c r="O21" s="21" t="n">
        <x:f>N21/$C21</x:f>
        <x:v>0</x:v>
      </x:c>
      <x:c r="P21" s="20" t="n">
        <x:v>55.95028908503927</x:v>
      </x:c>
      <x:c r="Q21" s="21" t="n">
        <x:f>P21/$C21</x:f>
        <x:v>0.0004718036839640353</x:v>
      </x:c>
      <x:c r="R21" s="20" t="n">
        <x:v>0</x:v>
      </x:c>
      <x:c r="S21" s="21" t="n">
        <x:f>R21/$C21</x:f>
        <x:v>0</x:v>
      </x:c>
    </x:row>
    <x:row r="22">
      <x:c r="A22" s="22" t="n">
        <x:v>17</x:v>
      </x:c>
      <x:c r="B22" s="12" t="str">
        <x:v>Carrasco</x:v>
      </x:c>
      <x:c r="C22" s="20" t="n">
        <x:v>691488.5363274538</x:v>
      </x:c>
      <x:c r="D22" s="20" t="n">
        <x:v>10957.685880255454</x:v>
      </x:c>
      <x:c r="E22" s="21" t="n">
        <x:f>D22/$C22</x:f>
        <x:v>0.01584651849537886</x:v>
      </x:c>
      <x:c r="F22" s="20" t="n">
        <x:v>7781.544642812502</x:v>
      </x:c>
      <x:c r="G22" s="21" t="n">
        <x:f>F22/$C22</x:f>
        <x:v>0.01125332414639996</x:v>
      </x:c>
      <x:c r="H22" s="20" t="n">
        <x:v>136.26883127738694</x:v>
      </x:c>
      <x:c r="I22" s="21" t="n">
        <x:f>H22/$C22</x:f>
        <x:v>0.0001970659296842731</x:v>
      </x:c>
      <x:c r="J22" s="20" t="n">
        <x:v>7915.868792889386</x:v>
      </x:c>
      <x:c r="K22" s="21" t="n">
        <x:f>J22/$C22</x:f>
        <x:v>0.011447577764529756</x:v>
      </x:c>
      <x:c r="L22" s="20" t="n">
        <x:v>4936.548469656794</x:v>
      </x:c>
      <x:c r="M22" s="21" t="n">
        <x:f>L22/$C22</x:f>
        <x:v>0.007139017077383761</x:v>
      </x:c>
      <x:c r="N22" s="20" t="n">
        <x:v>3825.7348410655595</x:v>
      </x:c>
      <x:c r="O22" s="21" t="n">
        <x:f>N22/$C22</x:f>
        <x:v>0.00553260775859614</x:v>
      </x:c>
      <x:c r="P22" s="20" t="n">
        <x:v>3694.333878704148</x:v>
      </x:c>
      <x:c r="Q22" s="21" t="n">
        <x:f>P22/$C22</x:f>
        <x:v>0.0053425815246699905</x:v>
      </x:c>
      <x:c r="R22" s="20" t="n">
        <x:v>4135.099880699127</x:v>
      </x:c>
      <x:c r="S22" s="21" t="n">
        <x:f>R22/$C22</x:f>
        <x:v>0.005979997734540829</x:v>
      </x:c>
    </x:row>
    <x:row r="23">
      <x:c r="A23" s="22" t="n">
        <x:v>18</x:v>
      </x:c>
      <x:c r="B23" s="12" t="str">
        <x:v>Pilón Lajas</x:v>
      </x:c>
      <x:c r="C23" s="20" t="n">
        <x:v>405079.40526634787</x:v>
      </x:c>
      <x:c r="D23" s="20" t="n">
        <x:v>1065.703327618435</x:v>
      </x:c>
      <x:c r="E23" s="21" t="n">
        <x:f>D23/$C23</x:f>
        <x:v>0.0026308504302204987</x:v>
      </x:c>
      <x:c r="F23" s="20" t="n">
        <x:v>511.0952413650714</x:v>
      </x:c>
      <x:c r="G23" s="21" t="n">
        <x:f>F23/$C23</x:f>
        <x:v>0.001261716183840588</x:v>
      </x:c>
      <x:c r="H23" s="20" t="n">
        <x:v>46.39234943702615</x:v>
      </x:c>
      <x:c r="I23" s="21" t="n">
        <x:f>H23/$C23</x:f>
        <x:v>0.0001145265566056666</x:v>
      </x:c>
      <x:c r="J23" s="20" t="n">
        <x:v>0</x:v>
      </x:c>
      <x:c r="K23" s="21" t="n">
        <x:f>J23/$C23</x:f>
        <x:v>0</x:v>
      </x:c>
      <x:c r="L23" s="20" t="n">
        <x:v>138.3836095988138</x:v>
      </x:c>
      <x:c r="M23" s="21" t="n">
        <x:f>L23/$C23</x:f>
        <x:v>0.00034162094591756346</x:v>
      </x:c>
      <x:c r="N23" s="20" t="n">
        <x:v>155.66012149534916</x:v>
      </x:c>
      <x:c r="O23" s="21" t="n">
        <x:f>N23/$C23</x:f>
        <x:v>0.00038427063798269253</x:v>
      </x:c>
      <x:c r="P23" s="20" t="n">
        <x:v>596.7972624467976</x:v>
      </x:c>
      <x:c r="Q23" s="21" t="n">
        <x:f>P23/$C23</x:f>
        <x:v>0.0014732846318227198</x:v>
      </x:c>
      <x:c r="R23" s="20" t="n">
        <x:v>55787.66050518761</x:v>
      </x:c>
      <x:c r="S23" s="21" t="n">
        <x:f>R23/$C23</x:f>
        <x:v>0.13772030811713595</x:v>
      </x:c>
    </x:row>
    <x:row r="24">
      <x:c r="A24" s="22" t="n">
        <x:v>19</x:v>
      </x:c>
      <x:c r="B24" s="12" t="str">
        <x:v>Cotapata</x:v>
      </x:c>
      <x:c r="C24" s="20" t="n">
        <x:v>61391.92373983402</x:v>
      </x:c>
      <x:c r="D24" s="20" t="n">
        <x:v>890.4848476047265</x:v>
      </x:c>
      <x:c r="E24" s="21" t="n">
        <x:f>D24/$C24</x:f>
        <x:v>0.01450491845439496</x:v>
      </x:c>
      <x:c r="F24" s="20" t="n">
        <x:v>0</x:v>
      </x:c>
      <x:c r="G24" s="21" t="n">
        <x:f>F24/$C24</x:f>
        <x:v>0</x:v>
      </x:c>
      <x:c r="H24" s="20" t="n">
        <x:v>91.42588290989465</x:v>
      </x:c>
      <x:c r="I24" s="21" t="n">
        <x:f>H24/$C24</x:f>
        <x:v>0.0014892167786977682</x:v>
      </x:c>
      <x:c r="J24" s="20" t="n">
        <x:v>0</x:v>
      </x:c>
      <x:c r="K24" s="21" t="n">
        <x:f>J24/$C24</x:f>
        <x:v>0</x:v>
      </x:c>
      <x:c r="L24" s="20" t="n">
        <x:v>807.3463943026345</x:v>
      </x:c>
      <x:c r="M24" s="21" t="n">
        <x:f>L24/$C24</x:f>
        <x:v>0.013150693855497959</x:v>
      </x:c>
      <x:c r="N24" s="20" t="n">
        <x:v>58.78256879940784</x:v>
      </x:c>
      <x:c r="O24" s="21" t="n">
        <x:f>N24/$C24</x:f>
        <x:v>0.0009574967718639332</x:v>
      </x:c>
      <x:c r="P24" s="20" t="n">
        <x:v>441.111230569801</x:v>
      </x:c>
      <x:c r="Q24" s="21" t="n">
        <x:f>P24/$C24</x:f>
        <x:v>0.007185167098511802</x:v>
      </x:c>
      <x:c r="R24" s="20" t="n">
        <x:v>601.2563927410271</x:v>
      </x:c>
      <x:c r="S24" s="21" t="n">
        <x:f>R24/$C24</x:f>
        <x:v>0.009793737614234478</x:v>
      </x:c>
    </x:row>
    <x:row r="25">
      <x:c r="A25" s="22" t="n">
        <x:v>20</x:v>
      </x:c>
      <x:c r="B25" s="12" t="str">
        <x:v>Madidi</x:v>
      </x:c>
      <x:c r="C25" s="20" t="n">
        <x:v>1880872.0160703252</x:v>
      </x:c>
      <x:c r="D25" s="20" t="n">
        <x:v>15596.218783673596</x:v>
      </x:c>
      <x:c r="E25" s="21" t="n">
        <x:f>D25/$C25</x:f>
        <x:v>0.00829201490075785</x:v>
      </x:c>
      <x:c r="F25" s="20" t="n">
        <x:v>20326.702744130747</x:v>
      </x:c>
      <x:c r="G25" s="21" t="n">
        <x:f>F25/$C25</x:f>
        <x:v>0.010807063197526322</x:v>
      </x:c>
      <x:c r="H25" s="20" t="n">
        <x:v>92.12607743821421</x:v>
      </x:c>
      <x:c r="I25" s="21" t="n">
        <x:f>H25/$C25</x:f>
        <x:v>0.00004898051363999327</x:v>
      </x:c>
      <x:c r="J25" s="20" t="n">
        <x:v>1231.9247651634364</x:v>
      </x:c>
      <x:c r="K25" s="21" t="n">
        <x:f>J25/$C25</x:f>
        <x:v>0.000654975327740415</x:v>
      </x:c>
      <x:c r="L25" s="20" t="n">
        <x:v>38.23057567993751</x:v>
      </x:c>
      <x:c r="M25" s="21" t="n">
        <x:f>L25/$C25</x:f>
        <x:v>0.000020325984624840143</x:v>
      </x:c>
      <x:c r="N25" s="20" t="n">
        <x:v>17571.891822057172</x:v>
      </x:c>
      <x:c r="O25" s="21" t="n">
        <x:f>N25/$C25</x:f>
        <x:v>0.009342417597753321</x:v>
      </x:c>
      <x:c r="P25" s="20" t="n">
        <x:v>4026.278427152387</x:v>
      </x:c>
      <x:c r="Q25" s="21" t="n">
        <x:f>P25/$C25</x:f>
        <x:v>0.0021406445482475855</x:v>
      </x:c>
      <x:c r="R25" s="20" t="n">
        <x:v>15321.042389577437</x:v>
      </x:c>
      <x:c r="S25" s="21" t="n">
        <x:f>R25/$C25</x:f>
        <x:v>0.008145712339102922</x:v>
      </x:c>
    </x:row>
    <x:row r="26">
      <x:c r="A26" s="22" t="n">
        <x:v>21</x:v>
      </x:c>
      <x:c r="B26" s="12" t="str">
        <x:v>Kaa-iya del Gran Chaco</x:v>
      </x:c>
      <x:c r="C26" s="20" t="n">
        <x:v>3417669.4077059515</x:v>
      </x:c>
      <x:c r="D26" s="20" t="n">
        <x:v>389.9368021329181</x:v>
      </x:c>
      <x:c r="E26" s="21" t="n">
        <x:f>D26/$C26</x:f>
        <x:v>0.0001140943595228118</x:v>
      </x:c>
      <x:c r="F26" s="20" t="n">
        <x:v>0.6663068928582666</x:v>
      </x:c>
      <x:c r="G26" s="21" t="n">
        <x:f>F26/$C26</x:f>
        <x:v>1.949594338632984e-7</x:v>
      </x:c>
      <x:c r="H26" s="20" t="n">
        <x:v>66.65931146907558</x:v>
      </x:c>
      <x:c r="I26" s="21" t="n">
        <x:f>H26/$C26</x:f>
        <x:v>0.000019504318152825504</x:v>
      </x:c>
      <x:c r="J26" s="20" t="n">
        <x:v>0</x:v>
      </x:c>
      <x:c r="K26" s="21" t="n">
        <x:f>J26/$C26</x:f>
        <x:v>0</x:v>
      </x:c>
      <x:c r="L26" s="20" t="n">
        <x:v>0</x:v>
      </x:c>
      <x:c r="M26" s="21" t="n">
        <x:f>L26/$C26</x:f>
        <x:v>0</x:v>
      </x:c>
      <x:c r="N26" s="20" t="n">
        <x:v>426.3298533307146</x:v>
      </x:c>
      <x:c r="O26" s="21" t="n">
        <x:f>N26/$C26</x:f>
        <x:v>0.00012474285908679528</x:v>
      </x:c>
      <x:c r="P26" s="20" t="n">
        <x:v>2.6887423366428513</x:v>
      </x:c>
      <x:c r="Q26" s="21" t="n">
        <x:f>P26/$C26</x:f>
        <x:v>7.867180864774223e-7</x:v>
      </x:c>
      <x:c r="R26" s="20" t="n">
        <x:v>1236.5491435490637</x:v>
      </x:c>
      <x:c r="S26" s="21" t="n">
        <x:f>R26/$C26</x:f>
        <x:v>0.00036181063644159626</x:v>
      </x:c>
    </x:row>
    <x:row r="27">
      <x:c r="A27" s="22" t="n">
        <x:v>22</x:v>
      </x:c>
      <x:c r="B27" s="12" t="str">
        <x:v>El Palmar</x:v>
      </x:c>
      <x:c r="C27" s="20" t="n">
        <x:v>60265.919031994614</x:v>
      </x:c>
      <x:c r="D27" s="20" t="n">
        <x:v>57.88713170338633</x:v>
      </x:c>
      <x:c r="E27" s="21" t="n">
        <x:f>D27/$C27</x:f>
        <x:v>0.0009605284816556866</x:v>
      </x:c>
      <x:c r="F27" s="20" t="n">
        <x:v>0</x:v>
      </x:c>
      <x:c r="G27" s="21" t="n">
        <x:f>F27/$C27</x:f>
        <x:v>0</x:v>
      </x:c>
      <x:c r="H27" s="20" t="n">
        <x:v>0</x:v>
      </x:c>
      <x:c r="I27" s="21" t="n">
        <x:f>H27/$C27</x:f>
        <x:v>0</x:v>
      </x:c>
      <x:c r="J27" s="20" t="n">
        <x:v>0</x:v>
      </x:c>
      <x:c r="K27" s="21" t="n">
        <x:f>J27/$C27</x:f>
        <x:v>0</x:v>
      </x:c>
      <x:c r="L27" s="20" t="n">
        <x:v>106.20703533154642</x:v>
      </x:c>
      <x:c r="M27" s="21" t="n">
        <x:f>L27/$C27</x:f>
        <x:v>0.001762306740483989</x:v>
      </x:c>
      <x:c r="N27" s="20" t="n">
        <x:v>1199.6988403791584</x:v>
      </x:c>
      <x:c r="O27" s="21" t="n">
        <x:f>N27/$C27</x:f>
        <x:v>0.019906754259272963</x:v>
      </x:c>
      <x:c r="P27" s="20" t="n">
        <x:v>0</x:v>
      </x:c>
      <x:c r="Q27" s="21" t="n">
        <x:f>P27/$C27</x:f>
        <x:v>0</x:v>
      </x:c>
      <x:c r="R27" s="20" t="n">
        <x:v>53.793160169157645</x:v>
      </x:c>
      <x:c r="S27" s="21" t="n">
        <x:f>R27/$C27</x:f>
        <x:v>0.0008925966953328855</x:v>
      </x:c>
    </x:row>
    <x:row r="28">
      <x:c r="A28" s="22" t="n">
        <x:v>23</x:v>
      </x:c>
      <x:c r="B28" s="12" t="str">
        <x:v>San Matias</x:v>
      </x:c>
      <x:c r="C28" s="20" t="n">
        <x:v>2923346.233099783</x:v>
      </x:c>
      <x:c r="D28" s="20" t="n">
        <x:v>80958.37458873616</x:v>
      </x:c>
      <x:c r="E28" s="21" t="n">
        <x:f>D28/$C28</x:f>
        <x:v>0.027693734553943545</x:v>
      </x:c>
      <x:c r="F28" s="20" t="n">
        <x:v>53048.08988964715</x:v>
      </x:c>
      <x:c r="G28" s="21" t="n">
        <x:f>F28/$C28</x:f>
        <x:v>0.018146358884557227</x:v>
      </x:c>
      <x:c r="H28" s="20" t="n">
        <x:v>52932.1461933699</x:v>
      </x:c>
      <x:c r="I28" s="21" t="n">
        <x:f>H28/$C28</x:f>
        <x:v>0.01810669758992012</x:v>
      </x:c>
      <x:c r="J28" s="20" t="n">
        <x:v>736394.1465414818</x:v>
      </x:c>
      <x:c r="K28" s="21" t="n">
        <x:f>J28/$C28</x:f>
        <x:v>0.25190110504312146</x:v>
      </x:c>
      <x:c r="L28" s="20" t="n">
        <x:v>194090.6447675668</x:v>
      </x:c>
      <x:c r="M28" s="21" t="n">
        <x:f>L28/$C28</x:f>
        <x:v>0.06639331413089647</x:v>
      </x:c>
      <x:c r="N28" s="20" t="n">
        <x:v>809353.4659993306</x:v>
      </x:c>
      <x:c r="O28" s="21" t="n">
        <x:f>N28/$C28</x:f>
        <x:v>0.27685857283525706</x:v>
      </x:c>
      <x:c r="P28" s="20" t="n">
        <x:v>39837.95292356724</x:v>
      </x:c>
      <x:c r="Q28" s="21" t="n">
        <x:f>P28/$C28</x:f>
        <x:v>0.013627517832988566</x:v>
      </x:c>
      <x:c r="R28" s="20" t="n">
        <x:v>70870.07538030104</x:v>
      </x:c>
      <x:c r="S28" s="21" t="n">
        <x:f>R28/$C28</x:f>
        <x:v>0.024242792241941747</x:v>
      </x:c>
    </x:row>
    <x:row r="29">
      <x:c r="A29" s="22" t="n">
        <x:v>24</x:v>
      </x:c>
      <x:c r="B29" s="12" t="str">
        <x:v>Otuquis</x:v>
      </x:c>
      <x:c r="C29" s="20" t="n">
        <x:v>946838.9393559061</x:v>
      </x:c>
      <x:c r="D29" s="20" t="n">
        <x:v>72166.35885159324</x:v>
      </x:c>
      <x:c r="E29" s="21" t="n">
        <x:f>D29/$C29</x:f>
        <x:v>0.07621819915928353</x:v>
      </x:c>
      <x:c r="F29" s="20" t="n">
        <x:v>58961.40860700447</x:v>
      </x:c>
      <x:c r="G29" s="21" t="n">
        <x:f>F29/$C29</x:f>
        <x:v>0.06227184598799178</x:v>
      </x:c>
      <x:c r="H29" s="20" t="n">
        <x:v>0</x:v>
      </x:c>
      <x:c r="I29" s="21" t="n">
        <x:f>H29/$C29</x:f>
        <x:v>0</x:v>
      </x:c>
      <x:c r="J29" s="20" t="n">
        <x:v>273085.90632716863</x:v>
      </x:c>
      <x:c r="K29" s="21" t="n">
        <x:f>J29/$C29</x:f>
        <x:v>0.28841854192534294</x:v>
      </x:c>
      <x:c r="L29" s="20" t="n">
        <x:v>134236.64684795166</x:v>
      </x:c>
      <x:c r="M29" s="21" t="n">
        <x:f>L29/$C29</x:f>
        <x:v>0.14177347515858094</x:v>
      </x:c>
      <x:c r="N29" s="20" t="n">
        <x:v>107672.8947472036</x:v>
      </x:c>
      <x:c r="O29" s="21" t="n">
        <x:f>N29/$C29</x:f>
        <x:v>0.11371827907758932</x:v>
      </x:c>
      <x:c r="P29" s="20" t="n">
        <x:v>122246.86017794817</x:v>
      </x:c>
      <x:c r="Q29" s="21" t="n">
        <x:f>P29/$C29</x:f>
        <x:v>0.1291105119325864</x:v>
      </x:c>
      <x:c r="R29" s="20" t="n">
        <x:v>71736.63224708536</x:v>
      </x:c>
      <x:c r="S29" s="21" t="n">
        <x:f>R29/$C29</x:f>
        <x:v>0.07576434519674985</x:v>
      </x:c>
    </x:row>
    <x:row r="30">
      <x:c r="A30" s="22" t="n">
        <x:v>25</x:v>
      </x:c>
      <x:c r="B30" s="12" t="str">
        <x:v>Serranía del Aguarague</x:v>
      </x:c>
      <x:c r="C30" s="20" t="n">
        <x:v>108383.87865721287</x:v>
      </x:c>
      <x:c r="D30" s="20" t="n">
        <x:v>251.27782171191146</x:v>
      </x:c>
      <x:c r="E30" s="21" t="n">
        <x:f>D30/$C30</x:f>
        <x:v>0.002318405881253163</x:v>
      </x:c>
      <x:c r="F30" s="20" t="n">
        <x:v>78.1689001663524</x:v>
      </x:c>
      <x:c r="G30" s="21" t="n">
        <x:f>F30/$C30</x:f>
        <x:v>0.0007212225760399129</x:v>
      </x:c>
      <x:c r="H30" s="20" t="n">
        <x:v>0</x:v>
      </x:c>
      <x:c r="I30" s="21" t="n">
        <x:f>H30/$C30</x:f>
        <x:v>0</x:v>
      </x:c>
      <x:c r="J30" s="20" t="n">
        <x:v>0</x:v>
      </x:c>
      <x:c r="K30" s="21" t="n">
        <x:f>J30/$C30</x:f>
        <x:v>0</x:v>
      </x:c>
      <x:c r="L30" s="20" t="n">
        <x:v>2251.7694340156736</x:v>
      </x:c>
      <x:c r="M30" s="21" t="n">
        <x:f>L30/$C30</x:f>
        <x:v>0.020775870562239007</x:v>
      </x:c>
      <x:c r="N30" s="20" t="n">
        <x:v>17.816818828892142</x:v>
      </x:c>
      <x:c r="O30" s="21" t="n">
        <x:f>N30/$C30</x:f>
        <x:v>0.0001643862449805993</x:v>
      </x:c>
      <x:c r="P30" s="20" t="n">
        <x:v>895.9344547550254</x:v>
      </x:c>
      <x:c r="Q30" s="21" t="n">
        <x:f>P30/$C30</x:f>
        <x:v>0.008266307368355114</x:v>
      </x:c>
      <x:c r="R30" s="20" t="n">
        <x:v>15.010355172673572</x:v>
      </x:c>
      <x:c r="S30" s="21" t="n">
        <x:f>R30/$C30</x:f>
        <x:v>0.00013849250791390314</x:v>
      </x:c>
    </x:row>
    <x:row r="31">
      <x:c r="A31" s="22" t="n">
        <x:v>26</x:v>
      </x:c>
      <x:c r="B31" s="12" t="str">
        <x:v>Iñao</x:v>
      </x:c>
      <x:c r="C31" s="20" t="n">
        <x:v>263869.05439806497</x:v>
      </x:c>
      <x:c r="D31" s="20" t="n">
        <x:v>1561.2692156851872</x:v>
      </x:c>
      <x:c r="E31" s="21" t="n">
        <x:f>D31/$C31</x:f>
        <x:v>0.005916833329496467</x:v>
      </x:c>
      <x:c r="F31" s="20" t="n">
        <x:v>484.16639066022486</x:v>
      </x:c>
      <x:c r="G31" s="21" t="n">
        <x:f>F31/$C31</x:f>
        <x:v>0.0018348737094794978</x:v>
      </x:c>
      <x:c r="H31" s="20" t="n">
        <x:v>0</x:v>
      </x:c>
      <x:c r="I31" s="21" t="n">
        <x:f>H31/$C31</x:f>
        <x:v>0</x:v>
      </x:c>
      <x:c r="J31" s="20" t="n">
        <x:v>0</x:v>
      </x:c>
      <x:c r="K31" s="21" t="n">
        <x:f>J31/$C31</x:f>
        <x:v>0</x:v>
      </x:c>
      <x:c r="L31" s="20" t="n">
        <x:v>4380.592176479338</x:v>
      </x:c>
      <x:c r="M31" s="21" t="n">
        <x:f>L31/$C31</x:f>
        <x:v>0.016601386572109772</x:v>
      </x:c>
      <x:c r="N31" s="20" t="n">
        <x:v>30.383357806772995</x:v>
      </x:c>
      <x:c r="O31" s="21" t="n">
        <x:f>N31/$C31</x:f>
        <x:v>0.00011514558945187096</x:v>
      </x:c>
      <x:c r="P31" s="20" t="n">
        <x:v>8564.584710227517</x:v>
      </x:c>
      <x:c r="Q31" s="21" t="n">
        <x:f>P31/$C31</x:f>
        <x:v>0.03245770797096669</x:v>
      </x:c>
      <x:c r="R31" s="20" t="n">
        <x:v>731.139406961066</x:v>
      </x:c>
      <x:c r="S31" s="21" t="n">
        <x:f>R31/$C31</x:f>
        <x:v>0.002770841804958648</x:v>
      </x:c>
    </x:row>
    <x:row r="32">
      <x:c r="A32" s="22" t="n">
        <x:v>27</x:v>
      </x:c>
      <x:c r="B32" s="12" t="str">
        <x:v>El Cardon</x:v>
      </x:c>
      <x:c r="C32" s="20" t="n">
        <x:v>36029.34254884529</x:v>
      </x:c>
      <x:c r="D32" s="20" t="n">
        <x:v>0.9128251519421489</x:v>
      </x:c>
      <x:c r="E32" s="21" t="n">
        <x:f>D32/$C32</x:f>
        <x:v>0.00002533560390963626</x:v>
      </x:c>
      <x:c r="F32" s="20" t="n">
        <x:v>0</x:v>
      </x:c>
      <x:c r="G32" s="21" t="n">
        <x:f>F32/$C32</x:f>
        <x:v>0</x:v>
      </x:c>
      <x:c r="H32" s="20" t="n">
        <x:v>0</x:v>
      </x:c>
      <x:c r="I32" s="21" t="n">
        <x:f>H32/$C32</x:f>
        <x:v>0</x:v>
      </x:c>
      <x:c r="J32" s="20" t="n">
        <x:v>0</x:v>
      </x:c>
      <x:c r="K32" s="21" t="n">
        <x:f>J32/$C32</x:f>
        <x:v>0</x:v>
      </x:c>
      <x:c r="L32" s="20" t="n">
        <x:v>0</x:v>
      </x:c>
      <x:c r="M32" s="21" t="n">
        <x:f>L32/$C32</x:f>
        <x:v>0</x:v>
      </x:c>
      <x:c r="N32" s="20" t="n">
        <x:v>0</x:v>
      </x:c>
      <x:c r="O32" s="21" t="n">
        <x:f>N32/$C32</x:f>
        <x:v>0</x:v>
      </x:c>
      <x:c r="P32" s="20" t="n">
        <x:v>67.03023237864878</x:v>
      </x:c>
      <x:c r="Q32" s="21" t="n">
        <x:f>P32/$C32</x:f>
        <x:v>0.001860434513557257</x:v>
      </x:c>
      <x:c r="R32" s="20" t="n">
        <x:v>0</x:v>
      </x:c>
      <x:c r="S32" s="21" t="n">
        <x:f>R32/$C32</x:f>
        <x:v>0</x:v>
      </x:c>
    </x:row>
    <x:row r="33">
      <x:c r="A33" s="22" t="n">
        <x:v>28</x:v>
      </x:c>
      <x:c r="B33" s="12" t="str">
        <x:v>El Chore</x:v>
      </x:c>
      <x:c r="C33" s="20" t="n">
        <x:v>786315.319130978</x:v>
      </x:c>
      <x:c r="D33" s="20" t="n">
        <x:v>54969.36531933615</x:v>
      </x:c>
      <x:c r="E33" s="21" t="n">
        <x:f>D33/$C33</x:f>
        <x:v>0.06990753452455606</x:v>
      </x:c>
      <x:c r="F33" s="20" t="n">
        <x:v>5361.4573741319555</x:v>
      </x:c>
      <x:c r="G33" s="21" t="n">
        <x:f>F33/$C33</x:f>
        <x:v>0.006818457231708706</x:v>
      </x:c>
      <x:c r="H33" s="20" t="n">
        <x:v>8158.085869319417</x:v>
      </x:c>
      <x:c r="I33" s="21" t="n">
        <x:f>H33/$C33</x:f>
        <x:v>0.010375081943380668</x:v>
      </x:c>
      <x:c r="J33" s="20" t="n">
        <x:v>16242.780829808</x:v>
      </x:c>
      <x:c r="K33" s="21" t="n">
        <x:f>J33/$C33</x:f>
        <x:v>0.0206568286724456</x:v>
      </x:c>
      <x:c r="L33" s="20" t="n">
        <x:v>12203.40644509822</x:v>
      </x:c>
      <x:c r="M33" s="21" t="n">
        <x:f>L33/$C33</x:f>
        <x:v>0.015519736355365953</x:v>
      </x:c>
      <x:c r="N33" s="20" t="n">
        <x:v>4568.26230366523</x:v>
      </x:c>
      <x:c r="O33" s="21" t="n">
        <x:f>N33/$C33</x:f>
        <x:v>0.005809707877386891</x:v>
      </x:c>
      <x:c r="P33" s="20" t="n">
        <x:v>40544.28099254137</x:v>
      </x:c>
      <x:c r="Q33" s="21" t="n">
        <x:f>P33/$C33</x:f>
        <x:v>0.051562369454216155</x:v>
      </x:c>
      <x:c r="R33" s="20" t="n">
        <x:v>120936.83394990346</x:v>
      </x:c>
      <x:c r="S33" s="21" t="n">
        <x:f>R33/$C33</x:f>
        <x:v>0.15380195578989958</x:v>
      </x:c>
    </x:row>
  </x:sheetData>
  <x:pageMargins left="0.7" right="0.7" top="0.75" bottom="0.75" header="0.3" footer="0.3"/>
  <x:tableParts count="1">
    <x:tablePart xmlns:r="http://schemas.openxmlformats.org/officeDocument/2006/relationships" r:id="Re15e14c27b61490a"/>
  </x:tableParts>
</x:worksheet>
</file>